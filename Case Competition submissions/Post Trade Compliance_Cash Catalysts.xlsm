
<file path=[Content_Types].xml><?xml version="1.0" encoding="utf-8"?>
<Types xmlns="http://schemas.openxmlformats.org/package/2006/content-types">
  <Default Extension="bin" ContentType="application/vnd.ms-office.vbaProject"/>
  <Default Extension="jp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tables/table2.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0.xml" ContentType="application/vnd.openxmlformats-officedocument.drawing+xml"/>
  <Override PartName="/xl/slicers/slicer1.xml" ContentType="application/vnd.ms-excel.slicer+xml"/>
  <Override PartName="/xl/drawings/drawing11.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hidePivotFieldList="1"/>
  <mc:AlternateContent xmlns:mc="http://schemas.openxmlformats.org/markup-compatibility/2006">
    <mc:Choice Requires="x15">
      <x15ac:absPath xmlns:x15ac="http://schemas.microsoft.com/office/spreadsheetml/2010/11/ac" url="F:\"/>
    </mc:Choice>
  </mc:AlternateContent>
  <xr:revisionPtr revIDLastSave="0" documentId="8_{3B74926F-5CAF-4E05-BF70-D423D2E42C28}" xr6:coauthVersionLast="47" xr6:coauthVersionMax="47" xr10:uidLastSave="{00000000-0000-0000-0000-000000000000}"/>
  <bookViews>
    <workbookView xWindow="-108" yWindow="-108" windowWidth="23256" windowHeight="13176" tabRatio="790" firstSheet="2" activeTab="5" xr2:uid="{00000000-000D-0000-FFFF-FFFF00000000}"/>
  </bookViews>
  <sheets>
    <sheet name="Introduction" sheetId="1" r:id="rId1"/>
    <sheet name="List of Eligible Security Types" sheetId="3" r:id="rId2"/>
    <sheet name="Data Dictionary" sheetId="4" r:id="rId3"/>
    <sheet name="Sample Data" sheetId="5" r:id="rId4"/>
    <sheet name="Validation" sheetId="7" state="veryHidden" r:id="rId5"/>
    <sheet name="Configuration Screen" sheetId="6" r:id="rId6"/>
    <sheet name="Summary " sheetId="8" r:id="rId7"/>
    <sheet name="Funds Breach Check" sheetId="13" r:id="rId8"/>
    <sheet name="New Rule" sheetId="10" r:id="rId9"/>
    <sheet name="List of Compliance Rules" sheetId="2" r:id="rId10"/>
    <sheet name="Pivottable" sheetId="46" r:id="rId11"/>
    <sheet name="Funds_data" sheetId="23" r:id="rId12"/>
  </sheets>
  <definedNames>
    <definedName name="_xlnm._FilterDatabase" localSheetId="3" hidden="1">'Sample Data'!$A$1:$AG$45</definedName>
    <definedName name="_R1">'List of Compliance Rules'!$XEO$2:$XEO$6</definedName>
    <definedName name="Rule_1_Soft_Breach">Pivottable!$N$44</definedName>
    <definedName name="Rule_2_Soft_Breaches">Pivottable!$S$32:$S$35</definedName>
    <definedName name="Rule_3_Soft_Breaches">Pivottable!$S$17:$S$25</definedName>
    <definedName name="Rule_5_Soft___Hard_Limit">Pivottable!$Q$93:$Q$100</definedName>
    <definedName name="Rule_Category__Level_1">'List of Compliance Rules'!$XEJ$5:$XEJ$8</definedName>
    <definedName name="Rule_Category__Level_2">'List of Compliance Rules'!$XEK$5:$XEK$8</definedName>
    <definedName name="Rule4">Pivottable!$W$5:$W$10</definedName>
    <definedName name="Rule5">Pivottable!$X$5:$X$9</definedName>
    <definedName name="Slicer_Asset_Class31">#N/A</definedName>
    <definedName name="Slicer_Asset_Class41">#N/A</definedName>
  </definedNames>
  <calcPr calcId="191029" iterate="1"/>
  <pivotCaches>
    <pivotCache cacheId="414" r:id="rId13"/>
  </pivotCaches>
  <extLst>
    <ext xmlns:x14="http://schemas.microsoft.com/office/spreadsheetml/2009/9/main" uri="{BBE1A952-AA13-448e-AADC-164F8A28A991}">
      <x14:slicerCaches>
        <x14:slicerCache r:id="rId14"/>
        <x14:slicerCache r:id="rId1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5" i="13" l="1" a="1"/>
  <c r="D5" i="13" s="1"/>
  <c r="K17" i="46"/>
  <c r="H22" i="8" l="1" a="1"/>
  <c r="H22" i="8" s="1"/>
  <c r="L22" i="8"/>
  <c r="S35" i="46"/>
  <c r="R24" i="46"/>
  <c r="Q18" i="46"/>
  <c r="Q22" i="46"/>
  <c r="Q24" i="46"/>
  <c r="H8" i="8"/>
  <c r="H9" i="8"/>
  <c r="H10" i="8"/>
  <c r="H11" i="8"/>
  <c r="I7" i="8"/>
  <c r="J7" i="8"/>
  <c r="H7" i="8"/>
  <c r="J109" i="46"/>
  <c r="I92" i="46" a="1"/>
  <c r="I92" i="46" s="1"/>
  <c r="J92" i="46" s="1"/>
  <c r="N91" i="46" s="1"/>
  <c r="K92" i="46" a="1"/>
  <c r="K92" i="46" s="1"/>
  <c r="O20" i="46"/>
  <c r="Q20" i="46" s="1"/>
  <c r="O21" i="46"/>
  <c r="Q21" i="46" s="1"/>
  <c r="O17" i="46"/>
  <c r="Q17" i="46" s="1"/>
  <c r="P35" i="46"/>
  <c r="R35" i="46" s="1"/>
  <c r="P32" i="46"/>
  <c r="R32" i="46" s="1"/>
  <c r="L44" i="46"/>
  <c r="N118" i="46" s="1"/>
  <c r="K44" i="46"/>
  <c r="O7" i="46" s="1"/>
  <c r="I8" i="8" s="1"/>
  <c r="M33" i="46"/>
  <c r="N32" i="46" s="1"/>
  <c r="L34" i="46"/>
  <c r="Q33" i="46" s="1"/>
  <c r="S33" i="46" s="1"/>
  <c r="L35" i="46"/>
  <c r="Q34" i="46" s="1"/>
  <c r="S34" i="46" s="1"/>
  <c r="L36" i="46"/>
  <c r="Q35" i="46" s="1"/>
  <c r="L33" i="46"/>
  <c r="Q32" i="46" s="1"/>
  <c r="K34" i="46"/>
  <c r="P33" i="46" s="1"/>
  <c r="R33" i="46" s="1"/>
  <c r="K35" i="46"/>
  <c r="P34" i="46" s="1"/>
  <c r="R34" i="46" s="1"/>
  <c r="K36" i="46"/>
  <c r="M36" i="46" s="1"/>
  <c r="N35" i="46" s="1"/>
  <c r="K33" i="46"/>
  <c r="L18" i="46"/>
  <c r="P18" i="46" s="1"/>
  <c r="R18" i="46" s="1"/>
  <c r="L19" i="46"/>
  <c r="P19" i="46" s="1"/>
  <c r="R19" i="46" s="1"/>
  <c r="L20" i="46"/>
  <c r="P20" i="46" s="1"/>
  <c r="R20" i="46" s="1"/>
  <c r="L21" i="46"/>
  <c r="P21" i="46" s="1"/>
  <c r="R21" i="46" s="1"/>
  <c r="L22" i="46"/>
  <c r="P22" i="46" s="1"/>
  <c r="R22" i="46" s="1"/>
  <c r="L23" i="46"/>
  <c r="P23" i="46" s="1"/>
  <c r="R23" i="46" s="1"/>
  <c r="L24" i="46"/>
  <c r="P24" i="46" s="1"/>
  <c r="L25" i="46"/>
  <c r="P25" i="46" s="1"/>
  <c r="R25" i="46" s="1"/>
  <c r="L26" i="46"/>
  <c r="L17" i="46"/>
  <c r="P17" i="46" s="1"/>
  <c r="R17" i="46" s="1"/>
  <c r="K18" i="46"/>
  <c r="O18" i="46" s="1"/>
  <c r="K19" i="46"/>
  <c r="O19" i="46" s="1"/>
  <c r="Q19" i="46" s="1"/>
  <c r="K20" i="46"/>
  <c r="K21" i="46"/>
  <c r="K22" i="46"/>
  <c r="O22" i="46" s="1"/>
  <c r="K23" i="46"/>
  <c r="O23" i="46" s="1"/>
  <c r="Q23" i="46" s="1"/>
  <c r="K24" i="46"/>
  <c r="O24" i="46" s="1"/>
  <c r="K25" i="46"/>
  <c r="O25" i="46" s="1"/>
  <c r="Q25" i="46" s="1"/>
  <c r="K26" i="46"/>
  <c r="L52" i="46"/>
  <c r="L51" i="46"/>
  <c r="K52" i="46"/>
  <c r="K51" i="46"/>
  <c r="P58" i="46"/>
  <c r="P68" i="46"/>
  <c r="P70" i="46"/>
  <c r="P76" i="46"/>
  <c r="P82" i="46"/>
  <c r="P56" i="46"/>
  <c r="R63" i="46"/>
  <c r="R73" i="46"/>
  <c r="R88" i="46"/>
  <c r="Q58" i="46"/>
  <c r="R58" i="46" s="1"/>
  <c r="Q59" i="46"/>
  <c r="R59" i="46" s="1"/>
  <c r="Q60" i="46"/>
  <c r="R60" i="46" s="1"/>
  <c r="Q61" i="46"/>
  <c r="R61" i="46" s="1"/>
  <c r="Q62" i="46"/>
  <c r="R62" i="46" s="1"/>
  <c r="Q63" i="46"/>
  <c r="Q64" i="46"/>
  <c r="R64" i="46" s="1"/>
  <c r="Q65" i="46"/>
  <c r="R65" i="46" s="1"/>
  <c r="Q66" i="46"/>
  <c r="R66" i="46" s="1"/>
  <c r="Q67" i="46"/>
  <c r="R67" i="46" s="1"/>
  <c r="Q68" i="46"/>
  <c r="R68" i="46" s="1"/>
  <c r="Q69" i="46"/>
  <c r="R69" i="46" s="1"/>
  <c r="Q70" i="46"/>
  <c r="R70" i="46" s="1"/>
  <c r="Q71" i="46"/>
  <c r="R71" i="46" s="1"/>
  <c r="Q72" i="46"/>
  <c r="R72" i="46" s="1"/>
  <c r="Q73" i="46"/>
  <c r="Q74" i="46"/>
  <c r="R74" i="46" s="1"/>
  <c r="Q75" i="46"/>
  <c r="R75" i="46" s="1"/>
  <c r="Q76" i="46"/>
  <c r="R76" i="46" s="1"/>
  <c r="Q77" i="46"/>
  <c r="R77" i="46" s="1"/>
  <c r="Q78" i="46"/>
  <c r="R78" i="46" s="1"/>
  <c r="Q79" i="46"/>
  <c r="R79" i="46" s="1"/>
  <c r="Q80" i="46"/>
  <c r="R80" i="46" s="1"/>
  <c r="Q81" i="46"/>
  <c r="R81" i="46" s="1"/>
  <c r="Q82" i="46"/>
  <c r="R82" i="46" s="1"/>
  <c r="Q83" i="46"/>
  <c r="R83" i="46" s="1"/>
  <c r="Q84" i="46"/>
  <c r="R84" i="46" s="1"/>
  <c r="Q85" i="46"/>
  <c r="R85" i="46" s="1"/>
  <c r="Q86" i="46"/>
  <c r="R86" i="46" s="1"/>
  <c r="Q87" i="46"/>
  <c r="R87" i="46" s="1"/>
  <c r="Q88" i="46"/>
  <c r="Q89" i="46"/>
  <c r="Q57" i="46"/>
  <c r="R57" i="46" s="1"/>
  <c r="O57" i="46"/>
  <c r="P57" i="46" s="1"/>
  <c r="O58" i="46"/>
  <c r="O59" i="46"/>
  <c r="P59" i="46" s="1"/>
  <c r="O60" i="46"/>
  <c r="P60" i="46" s="1"/>
  <c r="O61" i="46"/>
  <c r="P61" i="46" s="1"/>
  <c r="O62" i="46"/>
  <c r="P62" i="46" s="1"/>
  <c r="O63" i="46"/>
  <c r="P63" i="46" s="1"/>
  <c r="O64" i="46"/>
  <c r="P64" i="46" s="1"/>
  <c r="O65" i="46"/>
  <c r="P65" i="46" s="1"/>
  <c r="O66" i="46"/>
  <c r="P66" i="46" s="1"/>
  <c r="O67" i="46"/>
  <c r="P67" i="46" s="1"/>
  <c r="O68" i="46"/>
  <c r="O69" i="46"/>
  <c r="P69" i="46" s="1"/>
  <c r="O70" i="46"/>
  <c r="O71" i="46"/>
  <c r="P71" i="46" s="1"/>
  <c r="O72" i="46"/>
  <c r="P72" i="46" s="1"/>
  <c r="O73" i="46"/>
  <c r="P73" i="46" s="1"/>
  <c r="O74" i="46"/>
  <c r="P74" i="46" s="1"/>
  <c r="O75" i="46"/>
  <c r="P75" i="46" s="1"/>
  <c r="O76" i="46"/>
  <c r="O77" i="46"/>
  <c r="P77" i="46" s="1"/>
  <c r="O78" i="46"/>
  <c r="P78" i="46" s="1"/>
  <c r="O79" i="46"/>
  <c r="P79" i="46" s="1"/>
  <c r="O80" i="46"/>
  <c r="P80" i="46" s="1"/>
  <c r="O81" i="46"/>
  <c r="P81" i="46" s="1"/>
  <c r="O82" i="46"/>
  <c r="O83" i="46"/>
  <c r="P83" i="46" s="1"/>
  <c r="O84" i="46"/>
  <c r="P84" i="46" s="1"/>
  <c r="O85" i="46"/>
  <c r="P85" i="46" s="1"/>
  <c r="O86" i="46"/>
  <c r="P86" i="46" s="1"/>
  <c r="O87" i="46"/>
  <c r="P87" i="46" s="1"/>
  <c r="N88" i="46"/>
  <c r="O56" i="46"/>
  <c r="X5" i="46" s="1" a="1"/>
  <c r="X5" i="46" s="1"/>
  <c r="N56" i="46"/>
  <c r="S57" i="46" s="1" a="1"/>
  <c r="S57" i="46" s="1"/>
  <c r="N57" i="46"/>
  <c r="N58" i="46"/>
  <c r="N59" i="46"/>
  <c r="N60" i="46"/>
  <c r="N61" i="46"/>
  <c r="N62" i="46"/>
  <c r="N63" i="46"/>
  <c r="N64" i="46"/>
  <c r="N65" i="46"/>
  <c r="N66" i="46"/>
  <c r="N67" i="46"/>
  <c r="N68" i="46"/>
  <c r="N69" i="46"/>
  <c r="N70" i="46"/>
  <c r="N71" i="46"/>
  <c r="N72" i="46"/>
  <c r="N73" i="46"/>
  <c r="N74" i="46"/>
  <c r="N75" i="46"/>
  <c r="N76" i="46"/>
  <c r="N77" i="46"/>
  <c r="N78" i="46"/>
  <c r="N79" i="46"/>
  <c r="N80" i="46"/>
  <c r="N81" i="46"/>
  <c r="N82" i="46"/>
  <c r="N83" i="46"/>
  <c r="N84" i="46"/>
  <c r="N85" i="46"/>
  <c r="N86" i="46"/>
  <c r="N87" i="46"/>
  <c r="L89" i="46"/>
  <c r="E4" i="46"/>
  <c r="E5" i="46"/>
  <c r="E6" i="46"/>
  <c r="E7" i="46"/>
  <c r="E8" i="46"/>
  <c r="E9" i="46"/>
  <c r="E10" i="46"/>
  <c r="E11" i="46"/>
  <c r="E12" i="46"/>
  <c r="E13" i="46"/>
  <c r="E14" i="46"/>
  <c r="E15" i="46"/>
  <c r="E16" i="46"/>
  <c r="E17" i="46"/>
  <c r="E18" i="46"/>
  <c r="E19" i="46"/>
  <c r="E20" i="46"/>
  <c r="E21" i="46"/>
  <c r="E22" i="46"/>
  <c r="E23" i="46"/>
  <c r="E24" i="46"/>
  <c r="E25" i="46"/>
  <c r="E26" i="46"/>
  <c r="E27" i="46"/>
  <c r="E28" i="46"/>
  <c r="E29" i="46"/>
  <c r="E30" i="46"/>
  <c r="E31" i="46"/>
  <c r="E32" i="46"/>
  <c r="E33" i="46"/>
  <c r="E34" i="46"/>
  <c r="E35" i="46"/>
  <c r="E36" i="46"/>
  <c r="E37" i="46"/>
  <c r="E38" i="46"/>
  <c r="E39" i="46"/>
  <c r="E40" i="46"/>
  <c r="E41" i="46"/>
  <c r="E42" i="46"/>
  <c r="E43" i="46"/>
  <c r="E44" i="46"/>
  <c r="E45" i="46"/>
  <c r="E46" i="46"/>
  <c r="E47" i="46"/>
  <c r="E48" i="46"/>
  <c r="E49" i="46"/>
  <c r="E50" i="46"/>
  <c r="E51" i="46"/>
  <c r="E52" i="46"/>
  <c r="E53" i="46"/>
  <c r="E54" i="46"/>
  <c r="E55" i="46"/>
  <c r="E56" i="46"/>
  <c r="E57" i="46"/>
  <c r="E58" i="46"/>
  <c r="E59" i="46"/>
  <c r="E60" i="46"/>
  <c r="E61" i="46"/>
  <c r="E62" i="46"/>
  <c r="E63" i="46"/>
  <c r="E64" i="46"/>
  <c r="E65" i="46"/>
  <c r="E66" i="46"/>
  <c r="E67" i="46"/>
  <c r="E68" i="46"/>
  <c r="E69" i="46"/>
  <c r="E70" i="46"/>
  <c r="E71" i="46"/>
  <c r="G4" i="46"/>
  <c r="G6" i="46"/>
  <c r="G7" i="46" s="1"/>
  <c r="V46" i="23"/>
  <c r="T46" i="23" s="1"/>
  <c r="V45" i="23"/>
  <c r="T45" i="23" s="1"/>
  <c r="V44" i="23"/>
  <c r="T44" i="23" s="1"/>
  <c r="V43" i="23"/>
  <c r="T43" i="23" s="1"/>
  <c r="V42" i="23"/>
  <c r="T42" i="23" s="1"/>
  <c r="Q41" i="23"/>
  <c r="T41" i="23" s="1"/>
  <c r="V41" i="23" s="1"/>
  <c r="Q40" i="23"/>
  <c r="T40" i="23" s="1"/>
  <c r="V40" i="23" s="1"/>
  <c r="T39" i="23"/>
  <c r="T38" i="23"/>
  <c r="V38" i="23" s="1"/>
  <c r="V37" i="23"/>
  <c r="T37" i="23"/>
  <c r="V36" i="23"/>
  <c r="T36" i="23"/>
  <c r="V35" i="23"/>
  <c r="T35" i="23"/>
  <c r="V34" i="23"/>
  <c r="T34" i="23"/>
  <c r="V33" i="23"/>
  <c r="T33" i="23"/>
  <c r="V32" i="23"/>
  <c r="T32" i="23"/>
  <c r="V31" i="23"/>
  <c r="T31" i="23"/>
  <c r="V30" i="23"/>
  <c r="T30" i="23"/>
  <c r="F30" i="23"/>
  <c r="V29" i="23"/>
  <c r="T29" i="23"/>
  <c r="V28" i="23"/>
  <c r="T28" i="23"/>
  <c r="AA27" i="23"/>
  <c r="V27" i="23"/>
  <c r="T27" i="23"/>
  <c r="V26" i="23"/>
  <c r="T26" i="23"/>
  <c r="V25" i="23"/>
  <c r="T25" i="23"/>
  <c r="V24" i="23"/>
  <c r="T24" i="23"/>
  <c r="V23" i="23"/>
  <c r="T23" i="23" s="1"/>
  <c r="V22" i="23"/>
  <c r="T22" i="23"/>
  <c r="V21" i="23"/>
  <c r="T21" i="23"/>
  <c r="V20" i="23"/>
  <c r="T20" i="23"/>
  <c r="V19" i="23"/>
  <c r="T19" i="23"/>
  <c r="V18" i="23"/>
  <c r="T18" i="23"/>
  <c r="V17" i="23"/>
  <c r="T17" i="23"/>
  <c r="V16" i="23"/>
  <c r="T16" i="23"/>
  <c r="V15" i="23"/>
  <c r="T15" i="23"/>
  <c r="V14" i="23"/>
  <c r="T14" i="23"/>
  <c r="V13" i="23"/>
  <c r="T13" i="23" s="1"/>
  <c r="V12" i="23"/>
  <c r="T12" i="23"/>
  <c r="V11" i="23"/>
  <c r="T11" i="23"/>
  <c r="V10" i="23"/>
  <c r="T10" i="23" s="1"/>
  <c r="V9" i="23"/>
  <c r="T9" i="23"/>
  <c r="V8" i="23"/>
  <c r="T8" i="23"/>
  <c r="AA7" i="23"/>
  <c r="V7" i="23"/>
  <c r="T7" i="23"/>
  <c r="V6" i="23"/>
  <c r="T6" i="23"/>
  <c r="Q5" i="23"/>
  <c r="V5" i="23" s="1"/>
  <c r="Q4" i="23"/>
  <c r="V4" i="23" s="1"/>
  <c r="Q3" i="23"/>
  <c r="V3" i="23" s="1"/>
  <c r="U5" i="46" l="1" a="1"/>
  <c r="U5" i="46" s="1"/>
  <c r="M119" i="46" a="1"/>
  <c r="M119" i="46" s="1"/>
  <c r="S17" i="46" a="1"/>
  <c r="S17" i="46" s="1"/>
  <c r="N8" i="8" s="1" a="1"/>
  <c r="N8" i="8" s="1"/>
  <c r="Q37" i="46"/>
  <c r="P8" i="46" s="1"/>
  <c r="J9" i="8" s="1"/>
  <c r="N44" i="46"/>
  <c r="L8" i="8" s="1"/>
  <c r="P7" i="46"/>
  <c r="J8" i="8" s="1"/>
  <c r="P37" i="46"/>
  <c r="O8" i="46" s="1"/>
  <c r="I9" i="8" s="1"/>
  <c r="S32" i="46"/>
  <c r="M8" i="8" s="1" a="1"/>
  <c r="M8" i="8" s="1"/>
  <c r="N21" i="8" a="1"/>
  <c r="N21" i="8" s="1"/>
  <c r="T4" i="23"/>
  <c r="P26" i="46"/>
  <c r="P9" i="46" s="1"/>
  <c r="J10" i="8" s="1"/>
  <c r="O26" i="46"/>
  <c r="P89" i="46"/>
  <c r="J97" i="46"/>
  <c r="N96" i="46" s="1"/>
  <c r="J94" i="46"/>
  <c r="N93" i="46" s="1"/>
  <c r="J108" i="46"/>
  <c r="N107" i="46" s="1"/>
  <c r="J96" i="46"/>
  <c r="N95" i="46" s="1"/>
  <c r="J106" i="46"/>
  <c r="N105" i="46" s="1"/>
  <c r="J107" i="46"/>
  <c r="N106" i="46" s="1"/>
  <c r="J95" i="46"/>
  <c r="N94" i="46" s="1"/>
  <c r="J93" i="46"/>
  <c r="N92" i="46" s="1"/>
  <c r="W5" i="46" s="1" a="1"/>
  <c r="W5" i="46" s="1"/>
  <c r="M35" i="46"/>
  <c r="N34" i="46" s="1"/>
  <c r="J103" i="46"/>
  <c r="N102" i="46" s="1"/>
  <c r="M34" i="46"/>
  <c r="N33" i="46" s="1"/>
  <c r="J102" i="46"/>
  <c r="N101" i="46" s="1"/>
  <c r="J101" i="46"/>
  <c r="N100" i="46" s="1"/>
  <c r="J104" i="46"/>
  <c r="N103" i="46" s="1"/>
  <c r="J100" i="46"/>
  <c r="N99" i="46" s="1"/>
  <c r="J99" i="46"/>
  <c r="N98" i="46" s="1"/>
  <c r="J105" i="46"/>
  <c r="N104" i="46" s="1"/>
  <c r="J98" i="46"/>
  <c r="N97" i="46" s="1"/>
  <c r="R89" i="46"/>
  <c r="V39" i="23"/>
  <c r="T3" i="23"/>
  <c r="T5" i="23"/>
  <c r="S89" i="46" l="1"/>
  <c r="P91" i="46" s="1"/>
  <c r="O10" i="46" s="1"/>
  <c r="I11" i="8" s="1"/>
  <c r="Q93" i="46" a="1"/>
  <c r="Q93" i="46" s="1"/>
  <c r="P8" i="8" s="1" a="1"/>
  <c r="P8" i="8" s="1"/>
  <c r="O9" i="46"/>
  <c r="I10" i="8" s="1"/>
  <c r="Q26" i="46"/>
  <c r="V5" i="46" s="1" a="1"/>
  <c r="V5" i="46" s="1"/>
  <c r="W46" i="23"/>
  <c r="W42" i="23"/>
  <c r="W4" i="23"/>
  <c r="W14" i="23"/>
  <c r="W37" i="23"/>
  <c r="W27" i="23"/>
  <c r="W23" i="23"/>
  <c r="W19" i="23"/>
  <c r="W15" i="23"/>
  <c r="W11" i="23"/>
  <c r="W22" i="23"/>
  <c r="W10" i="23"/>
  <c r="W3" i="23"/>
  <c r="W6" i="23"/>
  <c r="W21" i="23"/>
  <c r="W9" i="23"/>
  <c r="W43" i="23"/>
  <c r="W24" i="23"/>
  <c r="W16" i="23"/>
  <c r="W8" i="23"/>
  <c r="W35" i="23"/>
  <c r="W38" i="23"/>
  <c r="W34" i="23"/>
  <c r="W30" i="23"/>
  <c r="W7" i="23"/>
  <c r="W18" i="23"/>
  <c r="W33" i="23"/>
  <c r="W44" i="23"/>
  <c r="W29" i="23"/>
  <c r="W17" i="23"/>
  <c r="W36" i="23"/>
  <c r="W32" i="23"/>
  <c r="W5" i="23"/>
  <c r="W28" i="23"/>
  <c r="W20" i="23"/>
  <c r="W12" i="23"/>
  <c r="W39" i="23"/>
  <c r="W31" i="23"/>
  <c r="W45" i="23"/>
  <c r="W41" i="23"/>
  <c r="W26" i="23"/>
  <c r="W40" i="23"/>
  <c r="W25" i="23"/>
  <c r="W13" i="23"/>
  <c r="XER6" i="2" l="1"/>
  <c r="AP7" i="8" s="1"/>
  <c r="XER7" i="2"/>
  <c r="AP8" i="8" s="1"/>
  <c r="XER8" i="2"/>
  <c r="AP9" i="8" s="1"/>
  <c r="XES8" i="2"/>
  <c r="AQ9" i="8" s="1"/>
  <c r="XER9" i="2"/>
  <c r="AP10" i="8" s="1"/>
  <c r="XES9" i="2"/>
  <c r="AQ10" i="8" s="1"/>
  <c r="XER10" i="2"/>
  <c r="AP11" i="8" s="1"/>
  <c r="XES10" i="2"/>
  <c r="AQ11" i="8" s="1"/>
  <c r="XER11" i="2"/>
  <c r="AP12" i="8" s="1"/>
  <c r="XES11" i="2"/>
  <c r="AQ12" i="8" s="1"/>
  <c r="XER12" i="2"/>
  <c r="AP13" i="8" s="1"/>
  <c r="XES12" i="2"/>
  <c r="AQ13" i="8" s="1"/>
  <c r="XER13" i="2"/>
  <c r="AP14" i="8" s="1"/>
  <c r="XES13" i="2"/>
  <c r="AQ14" i="8" s="1"/>
  <c r="XER14" i="2"/>
  <c r="AP15" i="8" s="1"/>
  <c r="XES14" i="2"/>
  <c r="AQ15" i="8" s="1"/>
  <c r="XER15" i="2"/>
  <c r="AP16" i="8" s="1"/>
  <c r="XES15" i="2"/>
  <c r="AQ16" i="8" s="1"/>
  <c r="XER16" i="2"/>
  <c r="AP17" i="8" s="1"/>
  <c r="XES16" i="2"/>
  <c r="AQ17" i="8" s="1"/>
  <c r="XER17" i="2"/>
  <c r="AP18" i="8" s="1"/>
  <c r="XES17" i="2"/>
  <c r="AQ18" i="8" s="1"/>
  <c r="XER18" i="2"/>
  <c r="AP19" i="8" s="1"/>
  <c r="XES18" i="2"/>
  <c r="AQ19" i="8" s="1"/>
  <c r="XER19" i="2"/>
  <c r="AP20" i="8" s="1"/>
  <c r="XES19" i="2"/>
  <c r="AQ20" i="8" s="1"/>
  <c r="XER20" i="2"/>
  <c r="AP21" i="8" s="1"/>
  <c r="XES20" i="2"/>
  <c r="AQ21" i="8" s="1"/>
  <c r="XER21" i="2"/>
  <c r="AP22" i="8" s="1"/>
  <c r="XES21" i="2"/>
  <c r="AQ22" i="8" s="1"/>
  <c r="XER22" i="2"/>
  <c r="AP23" i="8" s="1"/>
  <c r="XES22" i="2"/>
  <c r="AQ23" i="8" s="1"/>
  <c r="XER23" i="2"/>
  <c r="AP24" i="8" s="1"/>
  <c r="XES23" i="2"/>
  <c r="AQ24" i="8" s="1"/>
  <c r="XER24" i="2"/>
  <c r="AP25" i="8" s="1"/>
  <c r="XES24" i="2"/>
  <c r="AQ25" i="8" s="1"/>
  <c r="XER25" i="2"/>
  <c r="AP26" i="8" s="1"/>
  <c r="XES25" i="2"/>
  <c r="AQ26" i="8" s="1"/>
  <c r="M12" i="13" l="1"/>
  <c r="L12" i="13"/>
  <c r="L9" i="13"/>
  <c r="L8" i="13"/>
  <c r="L13" i="13"/>
  <c r="M11" i="13"/>
  <c r="M14" i="13"/>
  <c r="L14" i="13"/>
  <c r="M13" i="13"/>
  <c r="L11" i="13"/>
  <c r="M10" i="13"/>
  <c r="L10" i="13"/>
  <c r="XEM9" i="2"/>
  <c r="XEM10" i="2"/>
  <c r="XEM11" i="2"/>
  <c r="XEM12" i="2"/>
  <c r="XEM13" i="2"/>
  <c r="XEM14" i="2"/>
  <c r="XEM15" i="2"/>
  <c r="XEM16" i="2"/>
  <c r="XEM17" i="2"/>
  <c r="XEM18" i="2"/>
  <c r="XEM19" i="2"/>
  <c r="XEM20" i="2"/>
  <c r="XEM21" i="2"/>
  <c r="XEM22" i="2"/>
  <c r="XEM23" i="2"/>
  <c r="XEM24" i="2"/>
  <c r="XEM25" i="2"/>
  <c r="XEM26" i="2"/>
  <c r="XEM27" i="2"/>
  <c r="XEM28" i="2"/>
  <c r="XEM29" i="2"/>
  <c r="XEM30" i="2"/>
  <c r="XEM31" i="2"/>
  <c r="XEM32" i="2"/>
  <c r="XEM33" i="2"/>
  <c r="XEM34" i="2"/>
  <c r="XEM35" i="2"/>
  <c r="XEM36" i="2"/>
  <c r="XEM37" i="2"/>
  <c r="XEM38" i="2"/>
  <c r="XEM39" i="2"/>
  <c r="XEM40" i="2"/>
  <c r="XEM41" i="2"/>
  <c r="XEM42" i="2"/>
  <c r="XEM43" i="2"/>
  <c r="XEM44" i="2"/>
  <c r="XEM45" i="2"/>
  <c r="XEM46" i="2"/>
  <c r="XEM47" i="2"/>
  <c r="XEM48" i="2"/>
  <c r="XEM49" i="2"/>
  <c r="XEM50" i="2"/>
  <c r="XEM51" i="2"/>
  <c r="XEM52" i="2"/>
  <c r="XEM53" i="2"/>
  <c r="XEM54" i="2"/>
  <c r="XEM55" i="2"/>
  <c r="XEM56" i="2"/>
  <c r="XEM57" i="2"/>
  <c r="XEM58" i="2"/>
  <c r="XEM59" i="2"/>
  <c r="XEM60" i="2"/>
  <c r="XEM61" i="2"/>
  <c r="XEM62" i="2"/>
  <c r="XEM63" i="2"/>
  <c r="XEM64" i="2"/>
  <c r="XEM65" i="2"/>
  <c r="XEM66" i="2"/>
  <c r="XEM67" i="2"/>
  <c r="XEM68" i="2"/>
  <c r="XEM69" i="2"/>
  <c r="XEM70" i="2"/>
  <c r="XEM71" i="2"/>
  <c r="XEM72" i="2"/>
  <c r="XEM73" i="2"/>
  <c r="XEM74" i="2"/>
  <c r="XEM75" i="2"/>
  <c r="XEM76" i="2"/>
  <c r="XEM77" i="2"/>
  <c r="XEM78" i="2"/>
  <c r="XEM79" i="2"/>
  <c r="XEM80" i="2"/>
  <c r="XEM81" i="2"/>
  <c r="XEM82" i="2"/>
  <c r="XEM83" i="2"/>
  <c r="XEM84" i="2"/>
  <c r="XEM85" i="2"/>
  <c r="XEM86" i="2"/>
  <c r="XEM87" i="2"/>
  <c r="XEM88" i="2"/>
  <c r="XEM89" i="2"/>
  <c r="XEM90" i="2"/>
  <c r="XEM91" i="2"/>
  <c r="XEM92" i="2"/>
  <c r="XEM93" i="2"/>
  <c r="XEM94" i="2"/>
  <c r="XEM95" i="2"/>
  <c r="XEM96" i="2"/>
  <c r="XEM97" i="2"/>
  <c r="XEM98" i="2"/>
  <c r="XEM99" i="2"/>
  <c r="XEM100" i="2"/>
  <c r="XEM101" i="2"/>
  <c r="XEM102" i="2"/>
  <c r="XEM103" i="2"/>
  <c r="XEM104" i="2"/>
  <c r="XEM105" i="2"/>
  <c r="XEM106" i="2"/>
  <c r="XEM107" i="2"/>
  <c r="XEM108" i="2"/>
  <c r="XEM109" i="2"/>
  <c r="XEM110" i="2"/>
  <c r="XEM111" i="2"/>
  <c r="XEM112" i="2"/>
  <c r="XEM113" i="2"/>
  <c r="XEM114" i="2"/>
  <c r="XEM115" i="2"/>
  <c r="XEM116" i="2"/>
  <c r="XEM117" i="2"/>
  <c r="XEM118" i="2"/>
  <c r="XEM119" i="2"/>
  <c r="XEM120" i="2"/>
  <c r="XEM121" i="2"/>
  <c r="XEM122" i="2"/>
  <c r="XEM123" i="2"/>
  <c r="XEM124" i="2"/>
  <c r="XEM125" i="2"/>
  <c r="XEM126" i="2"/>
  <c r="XEM127" i="2"/>
  <c r="XEM128" i="2"/>
  <c r="XEM129" i="2"/>
  <c r="XEM130" i="2"/>
  <c r="XEM131" i="2"/>
  <c r="XEM132" i="2"/>
  <c r="XEM133" i="2"/>
  <c r="XEM134" i="2"/>
  <c r="XEM135" i="2"/>
  <c r="XEM136" i="2"/>
  <c r="XEM137" i="2"/>
  <c r="XEM138" i="2"/>
  <c r="XEM139" i="2"/>
  <c r="XEM140" i="2"/>
  <c r="XEM141" i="2"/>
  <c r="XEM142" i="2"/>
  <c r="XEM143" i="2"/>
  <c r="XEM144" i="2"/>
  <c r="XEM145" i="2"/>
  <c r="XEM146" i="2"/>
  <c r="XEM147" i="2"/>
  <c r="XEM148" i="2"/>
  <c r="XEM149" i="2"/>
  <c r="XEM150" i="2"/>
  <c r="XEM151" i="2"/>
  <c r="XEM152" i="2"/>
  <c r="XEM153" i="2"/>
  <c r="XEM154" i="2"/>
  <c r="XEM155" i="2"/>
  <c r="XEM156" i="2"/>
  <c r="XEM157" i="2"/>
  <c r="XEM158" i="2"/>
  <c r="XEM159" i="2"/>
  <c r="XEM160" i="2"/>
  <c r="XEM161" i="2"/>
  <c r="XEM162" i="2"/>
  <c r="XEM163" i="2"/>
  <c r="XEM164" i="2"/>
  <c r="XEM165" i="2"/>
  <c r="XEM166" i="2"/>
  <c r="XEM167" i="2"/>
  <c r="XEM168" i="2"/>
  <c r="XEM169" i="2"/>
  <c r="XEM170" i="2"/>
  <c r="XEM171" i="2"/>
  <c r="XEM172" i="2"/>
  <c r="XEM173" i="2"/>
  <c r="XEM174" i="2"/>
  <c r="XEM175" i="2"/>
  <c r="XEM176" i="2"/>
  <c r="XEM177" i="2"/>
  <c r="XEM178" i="2"/>
  <c r="XEM179" i="2"/>
  <c r="XEM180" i="2"/>
  <c r="XEM181" i="2"/>
  <c r="XEM182" i="2"/>
  <c r="XEM183" i="2"/>
  <c r="XEM184" i="2"/>
  <c r="XEM185" i="2"/>
  <c r="XEM186" i="2"/>
  <c r="XEM187" i="2"/>
  <c r="XEM188" i="2"/>
  <c r="XEM189" i="2"/>
  <c r="XEM190" i="2"/>
  <c r="XEM191" i="2"/>
  <c r="XEM192" i="2"/>
  <c r="XEM193" i="2"/>
  <c r="XEM194" i="2"/>
  <c r="XEM195" i="2"/>
  <c r="XEM196" i="2"/>
  <c r="XEM197" i="2"/>
  <c r="XEM198" i="2"/>
  <c r="XEM199" i="2"/>
  <c r="XEM200" i="2"/>
  <c r="XEM201" i="2"/>
  <c r="XEM202" i="2"/>
  <c r="XEM203" i="2"/>
  <c r="XEM204" i="2"/>
  <c r="XEM205" i="2"/>
  <c r="XEM206" i="2"/>
  <c r="XEM207" i="2"/>
  <c r="XEM208" i="2"/>
  <c r="XEM209" i="2"/>
  <c r="XEL10" i="2"/>
  <c r="XEL11" i="2"/>
  <c r="XEL12" i="2"/>
  <c r="XEL13" i="2"/>
  <c r="XEL14" i="2"/>
  <c r="XEL15" i="2"/>
  <c r="XEL16" i="2"/>
  <c r="XEL17" i="2"/>
  <c r="XEL18" i="2"/>
  <c r="XEL19" i="2"/>
  <c r="XEL20" i="2"/>
  <c r="XEL21" i="2"/>
  <c r="XEL22" i="2"/>
  <c r="XEL23" i="2"/>
  <c r="XEL24" i="2"/>
  <c r="XEL25" i="2"/>
  <c r="XEL26" i="2"/>
  <c r="XEL27" i="2"/>
  <c r="XEL28" i="2"/>
  <c r="XEL29" i="2"/>
  <c r="XEL30" i="2"/>
  <c r="XEL31" i="2"/>
  <c r="XEL32" i="2"/>
  <c r="XEL33" i="2"/>
  <c r="XEL34" i="2"/>
  <c r="XEL35" i="2"/>
  <c r="XEL36" i="2"/>
  <c r="XEL37" i="2"/>
  <c r="XEL38" i="2"/>
  <c r="XEL39" i="2"/>
  <c r="XEL40" i="2"/>
  <c r="XEL41" i="2"/>
  <c r="XEL42" i="2"/>
  <c r="XEL43" i="2"/>
  <c r="XEL44" i="2"/>
  <c r="XEL45" i="2"/>
  <c r="XEL46" i="2"/>
  <c r="XEL47" i="2"/>
  <c r="XEL48" i="2"/>
  <c r="XEL49" i="2"/>
  <c r="XEL50" i="2"/>
  <c r="XEL51" i="2"/>
  <c r="XEL52" i="2"/>
  <c r="XEL53" i="2"/>
  <c r="XEL54" i="2"/>
  <c r="XEL55" i="2"/>
  <c r="XEL56" i="2"/>
  <c r="XEL57" i="2"/>
  <c r="XEL58" i="2"/>
  <c r="XEL59" i="2"/>
  <c r="XEL60" i="2"/>
  <c r="XEL61" i="2"/>
  <c r="XEL62" i="2"/>
  <c r="XEL63" i="2"/>
  <c r="XEL64" i="2"/>
  <c r="XEL65" i="2"/>
  <c r="XEL66" i="2"/>
  <c r="XEL67" i="2"/>
  <c r="XEL68" i="2"/>
  <c r="XEL69" i="2"/>
  <c r="XEL70" i="2"/>
  <c r="XEL71" i="2"/>
  <c r="XEL72" i="2"/>
  <c r="XEL73" i="2"/>
  <c r="XEL74" i="2"/>
  <c r="XEL75" i="2"/>
  <c r="XEL76" i="2"/>
  <c r="XEL77" i="2"/>
  <c r="XEL78" i="2"/>
  <c r="XEL79" i="2"/>
  <c r="XEL80" i="2"/>
  <c r="XEL81" i="2"/>
  <c r="XEL82" i="2"/>
  <c r="XEL83" i="2"/>
  <c r="XEL84" i="2"/>
  <c r="XEL85" i="2"/>
  <c r="XEL86" i="2"/>
  <c r="XEL87" i="2"/>
  <c r="XEL88" i="2"/>
  <c r="XEL89" i="2"/>
  <c r="XEL90" i="2"/>
  <c r="XEL91" i="2"/>
  <c r="XEL92" i="2"/>
  <c r="XEL93" i="2"/>
  <c r="XEL94" i="2"/>
  <c r="XEL95" i="2"/>
  <c r="XEL96" i="2"/>
  <c r="XEL97" i="2"/>
  <c r="XEL98" i="2"/>
  <c r="XEL99" i="2"/>
  <c r="XEL100" i="2"/>
  <c r="XEL101" i="2"/>
  <c r="XEL102" i="2"/>
  <c r="XEL103" i="2"/>
  <c r="XEL104" i="2"/>
  <c r="XEL105" i="2"/>
  <c r="XEL106" i="2"/>
  <c r="XEL107" i="2"/>
  <c r="XEL108" i="2"/>
  <c r="XEL109" i="2"/>
  <c r="XEL110" i="2"/>
  <c r="XEL111" i="2"/>
  <c r="XEL112" i="2"/>
  <c r="XEL113" i="2"/>
  <c r="XEL114" i="2"/>
  <c r="XEL115" i="2"/>
  <c r="XEL116" i="2"/>
  <c r="XEL117" i="2"/>
  <c r="XEL118" i="2"/>
  <c r="XEL119" i="2"/>
  <c r="XEL120" i="2"/>
  <c r="XEL121" i="2"/>
  <c r="XEL122" i="2"/>
  <c r="XEL123" i="2"/>
  <c r="XEL124" i="2"/>
  <c r="XEL125" i="2"/>
  <c r="XEL126" i="2"/>
  <c r="XEL127" i="2"/>
  <c r="XEL128" i="2"/>
  <c r="XEL129" i="2"/>
  <c r="XEL130" i="2"/>
  <c r="XEL131" i="2"/>
  <c r="XEL132" i="2"/>
  <c r="XEL133" i="2"/>
  <c r="XEL134" i="2"/>
  <c r="XEL135" i="2"/>
  <c r="XEL136" i="2"/>
  <c r="XEL137" i="2"/>
  <c r="XEL138" i="2"/>
  <c r="XEL139" i="2"/>
  <c r="XEL140" i="2"/>
  <c r="XEL141" i="2"/>
  <c r="XEL142" i="2"/>
  <c r="XEL143" i="2"/>
  <c r="XEL144" i="2"/>
  <c r="XEL145" i="2"/>
  <c r="XEL146" i="2"/>
  <c r="XEL147" i="2"/>
  <c r="XEL148" i="2"/>
  <c r="XEL149" i="2"/>
  <c r="XEL150" i="2"/>
  <c r="XEL151" i="2"/>
  <c r="XEL152" i="2"/>
  <c r="XEL153" i="2"/>
  <c r="XEL154" i="2"/>
  <c r="XEL155" i="2"/>
  <c r="XEL156" i="2"/>
  <c r="XEL157" i="2"/>
  <c r="XEL158" i="2"/>
  <c r="XEL159" i="2"/>
  <c r="XEL160" i="2"/>
  <c r="XEL161" i="2"/>
  <c r="XEL162" i="2"/>
  <c r="XEL163" i="2"/>
  <c r="XEL164" i="2"/>
  <c r="XEL165" i="2"/>
  <c r="XEL166" i="2"/>
  <c r="XEL167" i="2"/>
  <c r="XEL168" i="2"/>
  <c r="XEL169" i="2"/>
  <c r="XEL170" i="2"/>
  <c r="XEL171" i="2"/>
  <c r="XEL172" i="2"/>
  <c r="XEL173" i="2"/>
  <c r="XEL174" i="2"/>
  <c r="XEL175" i="2"/>
  <c r="XEL176" i="2"/>
  <c r="XEL177" i="2"/>
  <c r="XEL178" i="2"/>
  <c r="XEL179" i="2"/>
  <c r="XEL180" i="2"/>
  <c r="XEL181" i="2"/>
  <c r="XEL182" i="2"/>
  <c r="XEL183" i="2"/>
  <c r="XEL184" i="2"/>
  <c r="XEL185" i="2"/>
  <c r="XEL186" i="2"/>
  <c r="XEL187" i="2"/>
  <c r="XEL188" i="2"/>
  <c r="XEL189" i="2"/>
  <c r="XEL190" i="2"/>
  <c r="XEL191" i="2"/>
  <c r="XEL192" i="2"/>
  <c r="XEL193" i="2"/>
  <c r="XEL194" i="2"/>
  <c r="XEL195" i="2"/>
  <c r="XEL196" i="2"/>
  <c r="XEL197" i="2"/>
  <c r="XEL198" i="2"/>
  <c r="XEL199" i="2"/>
  <c r="XEL200" i="2"/>
  <c r="XEL201" i="2"/>
  <c r="XEL202" i="2"/>
  <c r="XEL203" i="2"/>
  <c r="XEL204" i="2"/>
  <c r="XEL205" i="2"/>
  <c r="XEL206" i="2"/>
  <c r="XEL207" i="2"/>
  <c r="XEL208" i="2"/>
  <c r="XEL209" i="2"/>
  <c r="XEL6" i="2"/>
  <c r="XEM6" i="2"/>
  <c r="XEL7" i="2"/>
  <c r="XEM7" i="2"/>
  <c r="XEL8" i="2"/>
  <c r="XEM8" i="2"/>
  <c r="XEM5" i="2"/>
  <c r="XEL5" i="2"/>
  <c r="XEI3" i="2" a="1"/>
  <c r="XEI3" i="2" s="1"/>
  <c r="XEO2" i="2" l="1" a="1"/>
  <c r="XER5" i="2" s="1"/>
  <c r="XEP2" i="2" a="1"/>
  <c r="XES7" i="2" s="1"/>
  <c r="XEK5" i="2" a="1"/>
  <c r="XEJ5" i="2" a="1"/>
  <c r="AE4" i="10"/>
  <c r="AD4" i="10"/>
  <c r="AB4" i="10"/>
  <c r="AA4" i="10"/>
  <c r="Z4" i="10"/>
  <c r="Y4" i="10"/>
  <c r="W4" i="10"/>
  <c r="AE3" i="10"/>
  <c r="AD3" i="10"/>
  <c r="AB3" i="10"/>
  <c r="AA3" i="10"/>
  <c r="V45" i="5"/>
  <c r="S45" i="5" s="1"/>
  <c r="T45" i="5" s="1"/>
  <c r="V44" i="5"/>
  <c r="S44" i="5" s="1"/>
  <c r="T44" i="5" s="1"/>
  <c r="V43" i="5"/>
  <c r="S43" i="5" s="1"/>
  <c r="T43" i="5" s="1"/>
  <c r="V42" i="5"/>
  <c r="S42" i="5" s="1"/>
  <c r="T42" i="5" s="1"/>
  <c r="V41" i="5"/>
  <c r="S41" i="5" s="1"/>
  <c r="T41" i="5" s="1"/>
  <c r="P40" i="5"/>
  <c r="S40" i="5" s="1"/>
  <c r="V40" i="5" s="1"/>
  <c r="W40" i="5" s="1"/>
  <c r="P39" i="5"/>
  <c r="S39" i="5" s="1"/>
  <c r="V39" i="5" s="1"/>
  <c r="W39" i="5" s="1"/>
  <c r="S38" i="5"/>
  <c r="V38" i="5" s="1"/>
  <c r="W38" i="5" s="1"/>
  <c r="S37" i="5"/>
  <c r="V37" i="5" s="1"/>
  <c r="W37" i="5" s="1"/>
  <c r="V36" i="5"/>
  <c r="W36" i="5" s="1"/>
  <c r="S36" i="5"/>
  <c r="T36" i="5" s="1"/>
  <c r="V35" i="5"/>
  <c r="W35" i="5" s="1"/>
  <c r="S35" i="5"/>
  <c r="T35" i="5" s="1"/>
  <c r="V34" i="5"/>
  <c r="W34" i="5" s="1"/>
  <c r="S34" i="5"/>
  <c r="T34" i="5" s="1"/>
  <c r="V33" i="5"/>
  <c r="W33" i="5" s="1"/>
  <c r="S33" i="5"/>
  <c r="T33" i="5" s="1"/>
  <c r="V32" i="5"/>
  <c r="W32" i="5" s="1"/>
  <c r="S32" i="5"/>
  <c r="T32" i="5" s="1"/>
  <c r="V31" i="5"/>
  <c r="W31" i="5" s="1"/>
  <c r="S31" i="5"/>
  <c r="T31" i="5" s="1"/>
  <c r="V30" i="5"/>
  <c r="W30" i="5" s="1"/>
  <c r="S30" i="5"/>
  <c r="T30" i="5" s="1"/>
  <c r="V29" i="5"/>
  <c r="W29" i="5" s="1"/>
  <c r="S29" i="5"/>
  <c r="T29" i="5" s="1"/>
  <c r="E29" i="5"/>
  <c r="V28" i="5"/>
  <c r="W28" i="5" s="1"/>
  <c r="S28" i="5"/>
  <c r="T28" i="5" s="1"/>
  <c r="V27" i="5"/>
  <c r="W27" i="5" s="1"/>
  <c r="S27" i="5"/>
  <c r="T27" i="5" s="1"/>
  <c r="AD26" i="5"/>
  <c r="V26" i="5"/>
  <c r="W26" i="5" s="1"/>
  <c r="S26" i="5"/>
  <c r="T26" i="5" s="1"/>
  <c r="V25" i="5"/>
  <c r="W25" i="5" s="1"/>
  <c r="S25" i="5"/>
  <c r="T25" i="5" s="1"/>
  <c r="V24" i="5"/>
  <c r="W24" i="5" s="1"/>
  <c r="S24" i="5"/>
  <c r="T24" i="5" s="1"/>
  <c r="V23" i="5"/>
  <c r="W23" i="5" s="1"/>
  <c r="S23" i="5"/>
  <c r="T23" i="5" s="1"/>
  <c r="V22" i="5"/>
  <c r="S22" i="5" s="1"/>
  <c r="T22" i="5" s="1"/>
  <c r="V21" i="5"/>
  <c r="W21" i="5" s="1"/>
  <c r="S21" i="5"/>
  <c r="T21" i="5" s="1"/>
  <c r="V20" i="5"/>
  <c r="W20" i="5" s="1"/>
  <c r="S20" i="5"/>
  <c r="T20" i="5" s="1"/>
  <c r="V19" i="5"/>
  <c r="W19" i="5" s="1"/>
  <c r="S19" i="5"/>
  <c r="T19" i="5" s="1"/>
  <c r="V18" i="5"/>
  <c r="W18" i="5" s="1"/>
  <c r="S18" i="5"/>
  <c r="T18" i="5" s="1"/>
  <c r="V17" i="5"/>
  <c r="W17" i="5" s="1"/>
  <c r="S17" i="5"/>
  <c r="T17" i="5" s="1"/>
  <c r="V16" i="5"/>
  <c r="W16" i="5" s="1"/>
  <c r="S16" i="5"/>
  <c r="T16" i="5" s="1"/>
  <c r="V15" i="5"/>
  <c r="W15" i="5" s="1"/>
  <c r="S15" i="5"/>
  <c r="T15" i="5" s="1"/>
  <c r="V14" i="5"/>
  <c r="W14" i="5" s="1"/>
  <c r="S14" i="5"/>
  <c r="T14" i="5" s="1"/>
  <c r="V13" i="5"/>
  <c r="W13" i="5" s="1"/>
  <c r="S13" i="5"/>
  <c r="T13" i="5" s="1"/>
  <c r="V12" i="5"/>
  <c r="S12" i="5" s="1"/>
  <c r="T12" i="5" s="1"/>
  <c r="V11" i="5"/>
  <c r="W11" i="5" s="1"/>
  <c r="S11" i="5"/>
  <c r="T11" i="5" s="1"/>
  <c r="V10" i="5"/>
  <c r="W10" i="5" s="1"/>
  <c r="S10" i="5"/>
  <c r="T10" i="5" s="1"/>
  <c r="V9" i="5"/>
  <c r="S9" i="5" s="1"/>
  <c r="T9" i="5" s="1"/>
  <c r="V8" i="5"/>
  <c r="W8" i="5" s="1"/>
  <c r="S8" i="5"/>
  <c r="T8" i="5" s="1"/>
  <c r="V7" i="5"/>
  <c r="W7" i="5" s="1"/>
  <c r="S7" i="5"/>
  <c r="T7" i="5" s="1"/>
  <c r="AD6" i="5"/>
  <c r="V6" i="5"/>
  <c r="W6" i="5" s="1"/>
  <c r="S6" i="5"/>
  <c r="T6" i="5" s="1"/>
  <c r="V5" i="5"/>
  <c r="W5" i="5" s="1"/>
  <c r="S5" i="5"/>
  <c r="T5" i="5" s="1"/>
  <c r="P4" i="5"/>
  <c r="V4" i="5" s="1"/>
  <c r="W4" i="5" s="1"/>
  <c r="P3" i="5"/>
  <c r="V3" i="5" s="1"/>
  <c r="W3" i="5" s="1"/>
  <c r="P2" i="5"/>
  <c r="M9" i="13" l="1"/>
  <c r="AQ8" i="8"/>
  <c r="L7" i="13"/>
  <c r="AP6" i="8"/>
  <c r="XEO2" i="2"/>
  <c r="XER2" i="2" s="1"/>
  <c r="AP3" i="8" s="1"/>
  <c r="XER3" i="2"/>
  <c r="XER4" i="2"/>
  <c r="XEP2" i="2"/>
  <c r="XES2" i="2" s="1"/>
  <c r="XES3" i="2"/>
  <c r="XES4" i="2"/>
  <c r="XES6" i="2"/>
  <c r="XES5" i="2"/>
  <c r="V2" i="5"/>
  <c r="W2" i="5" s="1"/>
  <c r="S2" i="5"/>
  <c r="T2" i="5" s="1"/>
  <c r="XEK5" i="2"/>
  <c r="XEG5" i="2" s="1" a="1"/>
  <c r="XEG5" i="2" s="1"/>
  <c r="XEJ5" i="2"/>
  <c r="XEH5" i="2" s="1" a="1"/>
  <c r="XEH5" i="2" s="1"/>
  <c r="W45" i="5"/>
  <c r="W12" i="5"/>
  <c r="W22" i="5"/>
  <c r="W44" i="5"/>
  <c r="W43" i="5"/>
  <c r="W42" i="5"/>
  <c r="T37" i="5"/>
  <c r="W41" i="5"/>
  <c r="W9" i="5"/>
  <c r="T40" i="5"/>
  <c r="T39" i="5"/>
  <c r="T38" i="5"/>
  <c r="S4" i="5"/>
  <c r="T4" i="5" s="1"/>
  <c r="S3" i="5"/>
  <c r="T3" i="5" s="1"/>
  <c r="L6" i="13" l="1"/>
  <c r="AP5" i="8"/>
  <c r="M7" i="13"/>
  <c r="AQ6" i="8"/>
  <c r="M8" i="13"/>
  <c r="AQ7" i="8"/>
  <c r="M6" i="13"/>
  <c r="AQ5" i="8"/>
  <c r="M5" i="13"/>
  <c r="AQ4" i="8"/>
  <c r="M4" i="13"/>
  <c r="AQ3" i="8"/>
  <c r="L5" i="13"/>
  <c r="AP4" i="8"/>
  <c r="XEW3" i="2"/>
  <c r="L4" i="13"/>
  <c r="XEW4" i="2"/>
  <c r="XET3" i="2"/>
  <c r="XEU3" i="2" a="1"/>
  <c r="XEU3" i="2" s="1"/>
  <c r="Z3" i="5"/>
  <c r="Z15" i="5"/>
  <c r="Z27" i="5"/>
  <c r="Z39" i="5"/>
  <c r="Z4" i="5"/>
  <c r="Z16" i="5"/>
  <c r="Z28" i="5"/>
  <c r="Z40" i="5"/>
  <c r="Z17" i="5"/>
  <c r="Z29" i="5"/>
  <c r="Z5" i="5"/>
  <c r="Z6" i="5"/>
  <c r="Z7" i="5"/>
  <c r="Z19" i="5"/>
  <c r="Z31" i="5"/>
  <c r="Z43" i="5"/>
  <c r="Z21" i="5"/>
  <c r="Z33" i="5"/>
  <c r="Z45" i="5"/>
  <c r="Z8" i="5"/>
  <c r="Z20" i="5"/>
  <c r="Z32" i="5"/>
  <c r="Z44" i="5"/>
  <c r="Z9" i="5"/>
  <c r="Z10" i="5"/>
  <c r="Z22" i="5"/>
  <c r="Z34" i="5"/>
  <c r="Z2" i="5"/>
  <c r="Z30" i="5"/>
  <c r="Z11" i="5"/>
  <c r="Z23" i="5"/>
  <c r="Z35" i="5"/>
  <c r="Z12" i="5"/>
  <c r="Z24" i="5"/>
  <c r="Z36" i="5"/>
  <c r="Z41" i="5"/>
  <c r="Z42" i="5"/>
  <c r="Z13" i="5"/>
  <c r="Z25" i="5"/>
  <c r="Z37" i="5"/>
  <c r="Z14" i="5"/>
  <c r="Z26" i="5"/>
  <c r="Z38" i="5"/>
  <c r="Z18" i="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<sst xmlns="http://schemas.openxmlformats.org/spreadsheetml/2006/main" count="4796" uniqueCount="360">
  <si>
    <t>Complexity Level</t>
  </si>
  <si>
    <t>S. No.</t>
  </si>
  <si>
    <t>Rule Category (Level 1)</t>
  </si>
  <si>
    <t>Rule Category (Level 2)</t>
  </si>
  <si>
    <t>Rule Name</t>
  </si>
  <si>
    <t>Rule Description</t>
  </si>
  <si>
    <t>Reference data / Reference link</t>
  </si>
  <si>
    <t>Soft Limit</t>
  </si>
  <si>
    <t>Hard Limit</t>
  </si>
  <si>
    <t>Easy</t>
  </si>
  <si>
    <t>Prospectus</t>
  </si>
  <si>
    <t>Fund Exposure</t>
  </si>
  <si>
    <t>Limits on gross equity exposure to Asia</t>
  </si>
  <si>
    <t>This rule pertains to the capital allocation limits on the gross equity exposure to Asian markets within a fund's portfolio of holdings. It ensures that the fund does not over-concentrate its investments in Asian equities, thereby maintaining a balanced and diversified portfolio. The limitation helps mitigate regional market risks, such as economic instability or geopolitical events that could adversely affect the fund's performance. By adhering to this rule, fund managers can achieve a more stable return and protect investors from excessive exposure to the volatility of Asian markets.</t>
  </si>
  <si>
    <t>&lt;40%</t>
  </si>
  <si>
    <t>&lt;30%</t>
  </si>
  <si>
    <t>Diversification Limits</t>
  </si>
  <si>
    <t>Limit on exposure to a single counterparty</t>
  </si>
  <si>
    <t>This diversification rule sets a 5% maximum limit on the exposure to any single over-the-counter (OTC) counterparty. The aim is to reduce the counterparty risk associated with OTC transactions, where the lack of centralized exchanges can lead to higher credit and default risks. By limiting exposure to a single OTC counterparty, the fund ensures that potential losses are minimized in case of counterparty insolvency or default, thereby safeguarding the fund’s assets and maintaining investor confidence.</t>
  </si>
  <si>
    <t>Regulation</t>
  </si>
  <si>
    <t>Concentration Limits</t>
  </si>
  <si>
    <t>Limit on exposure to a single issuer via its debt securities</t>
  </si>
  <si>
    <t>This rule imposes a cap on the fund's exposure to debt securities issued by a single entity. The concentration limit of 10% is designed to prevent the fund from becoming overly reliant on the financial health of any one issuer, thereby reducing the risk of significant losses in the event of the issuer's default or credit downgrade. By diversifying its investments across multiple issuers, the fund can achieve a more stable portfolio, protecting investors from issuer-specific risks.</t>
  </si>
  <si>
    <t>Medium</t>
  </si>
  <si>
    <t>Eligible Assets</t>
  </si>
  <si>
    <t>Eligible Security types</t>
  </si>
  <si>
    <t>This rule defines the types of securities that are eligible for inclusion in the fund's portfolio. The list is determined and shared with the investors as part of fund launch so as to bring transparency to investors regarding the kind of investments the fund manager is expected to make once the fund goes live. This list can change post annual review by the board of directors with adequate communication to all stakeholders</t>
  </si>
  <si>
    <t>Compliance Rules</t>
  </si>
  <si>
    <t>NA</t>
  </si>
  <si>
    <t>Difficult</t>
  </si>
  <si>
    <t>5/10/40 investment restriction</t>
  </si>
  <si>
    <t>Limits on aggregated exposure to any group</t>
  </si>
  <si>
    <t>Security Type</t>
  </si>
  <si>
    <t>Common Stock</t>
  </si>
  <si>
    <t>Depository Receipts</t>
  </si>
  <si>
    <t>Warrants</t>
  </si>
  <si>
    <t>Preference Shares</t>
  </si>
  <si>
    <t>Equity Option</t>
  </si>
  <si>
    <t>Corporate Bonds</t>
  </si>
  <si>
    <t>Government Bonds</t>
  </si>
  <si>
    <t>Exchange Traded Funds</t>
  </si>
  <si>
    <t>Index Option</t>
  </si>
  <si>
    <t>Index Futures</t>
  </si>
  <si>
    <t>Currency Forward</t>
  </si>
  <si>
    <t>Cash</t>
  </si>
  <si>
    <t>Note that this list can be expanded or contracted during annual review of eligibility list.</t>
  </si>
  <si>
    <t>Attributes</t>
  </si>
  <si>
    <t>Attribute Description</t>
  </si>
  <si>
    <t>As Of Date</t>
  </si>
  <si>
    <t>The valuation date of the fund for which the holdings at the end of the day have been shared</t>
  </si>
  <si>
    <t>Portfolio Name</t>
  </si>
  <si>
    <t>The name of the investment portfolio being analyzed</t>
  </si>
  <si>
    <t>The primary regulatory framework under which the portfolio or security operates</t>
  </si>
  <si>
    <t>Base Currency</t>
  </si>
  <si>
    <t>The primary currency in which the portfolio or fund's performance is measured</t>
  </si>
  <si>
    <t>Security Name</t>
  </si>
  <si>
    <t>The name of the financial instrument or security</t>
  </si>
  <si>
    <t>Long/Short</t>
  </si>
  <si>
    <t>Indicates whether the position in the security is long or short</t>
  </si>
  <si>
    <t>Counterparty Name</t>
  </si>
  <si>
    <t>In case of OTCs and other unlisted securities, name of the entity on the other side of the transaction.</t>
  </si>
  <si>
    <t>Local Currency</t>
  </si>
  <si>
    <t>The currency in which the security is issued and transacted</t>
  </si>
  <si>
    <t>Maturity Date</t>
  </si>
  <si>
    <t>The date on which a debt instrument or derivative contract is due to be repaid or settled</t>
  </si>
  <si>
    <t>Asset Class</t>
  </si>
  <si>
    <t>The category of assets, such as equities, fixed income, or commodities</t>
  </si>
  <si>
    <t>Issuer Name</t>
  </si>
  <si>
    <t>The name of the entity that issued the security</t>
  </si>
  <si>
    <t>Ultimate Parent Issuer Name</t>
  </si>
  <si>
    <t>Country of Origination</t>
  </si>
  <si>
    <t xml:space="preserve">The country where the security was originally issued </t>
  </si>
  <si>
    <t>Quantity EOD</t>
  </si>
  <si>
    <t>The quantity of the position held at the end of the valuation day</t>
  </si>
  <si>
    <t>Market Price Local Ccy</t>
  </si>
  <si>
    <t>The market price of the security in the local currency outstanding at the end of the valuation day</t>
  </si>
  <si>
    <t>fx_local_to_base</t>
  </si>
  <si>
    <t>The foreign exchange rate at the end of the valuation day used to convert the value from the local currency to the base currency</t>
  </si>
  <si>
    <t>Market Value Local Ccy</t>
  </si>
  <si>
    <t>The total market value of the position in the local currency</t>
  </si>
  <si>
    <t>Average Cost per unit Local Ccy</t>
  </si>
  <si>
    <t>The average purchase cost per unit of the security in the local currency</t>
  </si>
  <si>
    <t>Unrealized PnL Local Ccy</t>
  </si>
  <si>
    <t>The profit or loss on the position that has not yet been realized in the local currency</t>
  </si>
  <si>
    <t>NAV Local Ccy</t>
  </si>
  <si>
    <t>Net Asset Value of the portfolio in the local currency</t>
  </si>
  <si>
    <t>Region</t>
  </si>
  <si>
    <t>The geographical region where the security is issued</t>
  </si>
  <si>
    <t>Region Classification</t>
  </si>
  <si>
    <t>Classification of region - Developed or Emerging</t>
  </si>
  <si>
    <t>Current Amount Outstanding</t>
  </si>
  <si>
    <t>The current amount of the security that is still outstanding or not yet matured</t>
  </si>
  <si>
    <t>Local Currency (ISO Code)</t>
  </si>
  <si>
    <t>Issuer Type</t>
  </si>
  <si>
    <t>Coupon Rate</t>
  </si>
  <si>
    <t>Underlier Security Name</t>
  </si>
  <si>
    <t>Underlier Asset Class</t>
  </si>
  <si>
    <t>Underlier Security Type</t>
  </si>
  <si>
    <t>Prorite Global UCITS Fund</t>
  </si>
  <si>
    <t>UCITS</t>
  </si>
  <si>
    <t>EUR</t>
  </si>
  <si>
    <t>Raturo Inc. Class A Shares</t>
  </si>
  <si>
    <t>Long</t>
  </si>
  <si>
    <t>NULL</t>
  </si>
  <si>
    <t>HKD</t>
  </si>
  <si>
    <t>Equity</t>
  </si>
  <si>
    <t>Raturo Inc</t>
  </si>
  <si>
    <t>Transferable Securities</t>
  </si>
  <si>
    <t>Hong Kong</t>
  </si>
  <si>
    <t>Asia</t>
  </si>
  <si>
    <t>Emerging</t>
  </si>
  <si>
    <t>Micro Works Class B Shares</t>
  </si>
  <si>
    <t>Short</t>
  </si>
  <si>
    <t>USD</t>
  </si>
  <si>
    <t>Micro Works Ltd</t>
  </si>
  <si>
    <t>USA</t>
  </si>
  <si>
    <t>North America</t>
  </si>
  <si>
    <t>Developed</t>
  </si>
  <si>
    <t>Sams Electronics - ADR</t>
  </si>
  <si>
    <t>KRW</t>
  </si>
  <si>
    <t>Sams Electronics Ltd</t>
  </si>
  <si>
    <t>Sams Hold Co. Ltd</t>
  </si>
  <si>
    <t>South Korea</t>
  </si>
  <si>
    <t>Sams Electronics Class A Shares</t>
  </si>
  <si>
    <t>Vortexal Ent Corporate Bond</t>
  </si>
  <si>
    <t>Fixed Income</t>
  </si>
  <si>
    <t>Corporate Bond</t>
  </si>
  <si>
    <t>Vortexal Enterprises Ltd.</t>
  </si>
  <si>
    <t>Vortexal Enterprises Ltd</t>
  </si>
  <si>
    <t>Netherlands</t>
  </si>
  <si>
    <t>Europe</t>
  </si>
  <si>
    <t>US Govt 10-year bond</t>
  </si>
  <si>
    <t>Government Bond</t>
  </si>
  <si>
    <t>US Treasury Department</t>
  </si>
  <si>
    <t>US Government</t>
  </si>
  <si>
    <t>GAPS</t>
  </si>
  <si>
    <t>Zenith Core LLC Class A Shares</t>
  </si>
  <si>
    <t>JPY</t>
  </si>
  <si>
    <t>Zenith Core Innovations Ltd</t>
  </si>
  <si>
    <t>Zenith Holdings Co. Ltd</t>
  </si>
  <si>
    <t>Japan</t>
  </si>
  <si>
    <t>Azoo World Ltd W26</t>
  </si>
  <si>
    <t>Azoo Ventures Ltd</t>
  </si>
  <si>
    <t>France</t>
  </si>
  <si>
    <t>Azoo Ventures Ltd Common Stock</t>
  </si>
  <si>
    <t>CDS on GE Corp Bond</t>
  </si>
  <si>
    <t>Citi</t>
  </si>
  <si>
    <t>OTC</t>
  </si>
  <si>
    <t>Credit Default Swap</t>
  </si>
  <si>
    <t>General Electric 10 Year Corporate Bond</t>
  </si>
  <si>
    <t xml:space="preserve">Corporate Bond </t>
  </si>
  <si>
    <t>PinnacleFusion CB</t>
  </si>
  <si>
    <t>PinnacleFusion Systems Corp.</t>
  </si>
  <si>
    <t>Switzerland</t>
  </si>
  <si>
    <t>Freddie Mac</t>
  </si>
  <si>
    <t>Federal Home Loan Mortgage Corp</t>
  </si>
  <si>
    <t>CDS on US Treasury 10 y Bond</t>
  </si>
  <si>
    <t>Swiz Bank</t>
  </si>
  <si>
    <t>10 Y US Treasury Bond</t>
  </si>
  <si>
    <t xml:space="preserve">Government Bond </t>
  </si>
  <si>
    <t>AuroraPrime CB</t>
  </si>
  <si>
    <t>AuroraPrime Solutions LLC</t>
  </si>
  <si>
    <t>Sep 24 Call on Coin Col</t>
  </si>
  <si>
    <t>JMP</t>
  </si>
  <si>
    <t>Option</t>
  </si>
  <si>
    <t>Coin Col Inc</t>
  </si>
  <si>
    <t>Coin Col inc</t>
  </si>
  <si>
    <t>Coin Col Inc Class A Shares</t>
  </si>
  <si>
    <t>Horizon Class B Shares</t>
  </si>
  <si>
    <t>CHF</t>
  </si>
  <si>
    <t>HorizonPulse Enterprises Inc.</t>
  </si>
  <si>
    <t>Sep 24 Call on S&amp;P 500 Index</t>
  </si>
  <si>
    <t>Silvest</t>
  </si>
  <si>
    <t>S&amp;P 500 Index</t>
  </si>
  <si>
    <t>Index</t>
  </si>
  <si>
    <t>Equity Index</t>
  </si>
  <si>
    <t>Sphere Class C Shares</t>
  </si>
  <si>
    <t>Sphere Systems Ltd</t>
  </si>
  <si>
    <t>Innovation Systems LLC</t>
  </si>
  <si>
    <t>Dynamo Class A Shares</t>
  </si>
  <si>
    <t>Dynamo Sky Solutions Ltd.</t>
  </si>
  <si>
    <t>Radiant Class B Shares</t>
  </si>
  <si>
    <t>Radiant Core Technologies Inc.</t>
  </si>
  <si>
    <t>SEP 24 Call on Swiz Custom Index</t>
  </si>
  <si>
    <t>Swiz Custom Index</t>
  </si>
  <si>
    <t>Sep 24 Call on Para Global</t>
  </si>
  <si>
    <t>GBP</t>
  </si>
  <si>
    <t>Para Global GTE Ltd</t>
  </si>
  <si>
    <t>UK</t>
  </si>
  <si>
    <t>Para Global GTE Ltd Class A Shares</t>
  </si>
  <si>
    <t>Oct 24 LME Aluminium Future</t>
  </si>
  <si>
    <t>EPL</t>
  </si>
  <si>
    <t>Futures</t>
  </si>
  <si>
    <t>Commodity Future</t>
  </si>
  <si>
    <t>LME Primary Aluminium Future</t>
  </si>
  <si>
    <t>Spectra Sys - ADR</t>
  </si>
  <si>
    <t>SpectraLogic Systems Inc.</t>
  </si>
  <si>
    <t>Spectra Sys Class B Shares</t>
  </si>
  <si>
    <t>Terra Nex - ADR</t>
  </si>
  <si>
    <t>TerraNex Solutions LLC</t>
  </si>
  <si>
    <t>Terra Nex Class A Shares</t>
  </si>
  <si>
    <t>OCT 24 Call on Hope Lo Inc</t>
  </si>
  <si>
    <t>RBC</t>
  </si>
  <si>
    <t>CNY</t>
  </si>
  <si>
    <t>China</t>
  </si>
  <si>
    <t>Hope Lo Inc Class A</t>
  </si>
  <si>
    <t>US Govt 20-year bond</t>
  </si>
  <si>
    <t>Hometo W25</t>
  </si>
  <si>
    <t>Home To Solutions Ltd</t>
  </si>
  <si>
    <t>SS Solutions Ltd</t>
  </si>
  <si>
    <t>Spain</t>
  </si>
  <si>
    <t>Home To Solutions Class A Shares</t>
  </si>
  <si>
    <t>Aether W26</t>
  </si>
  <si>
    <t>Aether Heights Ltd.</t>
  </si>
  <si>
    <t>Aether Holdings Ltd.</t>
  </si>
  <si>
    <t>Aether Heights Class A Shares</t>
  </si>
  <si>
    <t>OmniPulse Systems Inc.</t>
  </si>
  <si>
    <t>AxiomVista Term Loan</t>
  </si>
  <si>
    <t>Bank Loan</t>
  </si>
  <si>
    <t>Axiom Vista L1 Ltd</t>
  </si>
  <si>
    <t>Axiom Vista Enterprises Ltd</t>
  </si>
  <si>
    <t>NexFusion Term Loan</t>
  </si>
  <si>
    <t>Fusion Innova Ltd.</t>
  </si>
  <si>
    <t>NexFusion Innovations Ltd.</t>
  </si>
  <si>
    <t>Germany</t>
  </si>
  <si>
    <t>Vortexal L4 Corporate Bond</t>
  </si>
  <si>
    <t>Vortexal L4 Ltd.</t>
  </si>
  <si>
    <t>QuantumRise CB</t>
  </si>
  <si>
    <t>QuantumRise Solutions Corp.</t>
  </si>
  <si>
    <t>QuantumRise Solutions Ltd</t>
  </si>
  <si>
    <t>NebulaFusion CB</t>
  </si>
  <si>
    <t>NebulaFusion Technologies Inc.</t>
  </si>
  <si>
    <t>NebulaFusion Hold Co Ltd</t>
  </si>
  <si>
    <t>Equity Swap on Vertox AG</t>
  </si>
  <si>
    <t>Equity Swap</t>
  </si>
  <si>
    <t>Vertox AG Limited</t>
  </si>
  <si>
    <t>Vertox AG Holding Company Limite</t>
  </si>
  <si>
    <t>Vertox AG Class A Shares</t>
  </si>
  <si>
    <t>POCO Co Ltd - CFD</t>
  </si>
  <si>
    <t>BP Bank</t>
  </si>
  <si>
    <t>POCO Ltd</t>
  </si>
  <si>
    <t>USD Cash Balance</t>
  </si>
  <si>
    <t>Cash Balance</t>
  </si>
  <si>
    <t>EUR Cash Balance</t>
  </si>
  <si>
    <t>DB Bank</t>
  </si>
  <si>
    <t>Luxembourg</t>
  </si>
  <si>
    <t>Cite</t>
  </si>
  <si>
    <t>USDEUR Currency</t>
  </si>
  <si>
    <t>FX</t>
  </si>
  <si>
    <t>JPYEUR Currency</t>
  </si>
  <si>
    <t>CNYEUR Currency</t>
  </si>
  <si>
    <t>CHFEUR Currency</t>
  </si>
  <si>
    <t>CDS on UK Treasury 10 y Bond</t>
  </si>
  <si>
    <t>10 Y UK Treasury Bond</t>
  </si>
  <si>
    <t>The name of the ultimate parent company of the issuer who issued the security.</t>
  </si>
  <si>
    <t>Fund can only invest up to 10% in a single issuer, and that the aggregate of concentrated investments in excess of 5% must not exceed 40% of the total portfolio</t>
  </si>
  <si>
    <r>
      <rPr>
        <b/>
        <sz val="11"/>
        <color theme="1"/>
        <rFont val="Arial"/>
        <family val="2"/>
      </rPr>
      <t xml:space="preserve">There are 2 broad reasons why Post Trade investment Compliance is required: </t>
    </r>
    <r>
      <rPr>
        <sz val="11"/>
        <color theme="1"/>
        <rFont val="Arial"/>
        <family val="2"/>
      </rPr>
      <t xml:space="preserve">
1. </t>
    </r>
    <r>
      <rPr>
        <b/>
        <sz val="11"/>
        <color theme="1"/>
        <rFont val="Arial"/>
        <family val="2"/>
      </rPr>
      <t xml:space="preserve">Investment Strategies </t>
    </r>
    <r>
      <rPr>
        <sz val="11"/>
        <color theme="1"/>
        <rFont val="Arial"/>
        <family val="2"/>
      </rPr>
      <t xml:space="preserve">are defined at a fund level in the prospectus shared with investors at the time of launch.
    In other words, a Post Trade Compliance is done to ensure that the fund is being managed in compliance with the fund prospectus
2. </t>
    </r>
    <r>
      <rPr>
        <b/>
        <sz val="11"/>
        <color theme="1"/>
        <rFont val="Arial"/>
        <family val="2"/>
      </rPr>
      <t xml:space="preserve">Regulatory Frameworks </t>
    </r>
    <r>
      <rPr>
        <sz val="11"/>
        <color theme="1"/>
        <rFont val="Arial"/>
        <family val="2"/>
      </rPr>
      <t>are also defined at the fund level, usually the entity registered with the regulator for performing investment activity.
    In other words, a Post Trade Compliance is done to ensure that the fund is following the regulation under which it has been registered e.g. UCITS or AIFMD, etc.</t>
    </r>
  </si>
  <si>
    <t>Nominal yield paid by any fixed income security</t>
  </si>
  <si>
    <t>The name of the underlier of the financial instrument or security</t>
  </si>
  <si>
    <t>The category of the underlier assets, such as equities, fixed income, or commodities</t>
  </si>
  <si>
    <t>A sub classification of underlier asset class e.g. common stock, depository receipts, etc. all belong to equity asset class</t>
  </si>
  <si>
    <t>A sub classification of the asset classes e.g. common stock, depository receipts, etc. all belong to equity asset class</t>
  </si>
  <si>
    <t>Type of issuer of securities e.g. Transferrable Securities, GAPS, etc.</t>
  </si>
  <si>
    <t>A UCITS fund shall not combine, where this would lead to investment of more than 20% in a single body, any of the following:
a) investments in transferrable securities or money market instruments issued by that body
b) deposits made with that body
c) exposures arising from OTC derivative transactions undertaken with that body</t>
  </si>
  <si>
    <t>Market Value Base Ccy</t>
  </si>
  <si>
    <t>NAV Base Ccy</t>
  </si>
  <si>
    <t>Unrealized PnL Base Ccy</t>
  </si>
  <si>
    <t>Complexity</t>
  </si>
  <si>
    <t>EasyRules</t>
  </si>
  <si>
    <t>MediumRules</t>
  </si>
  <si>
    <t>DifficultRules</t>
  </si>
  <si>
    <t>Grand Total</t>
  </si>
  <si>
    <t>Market Value in Base currency</t>
  </si>
  <si>
    <t>NAV Base Currency</t>
  </si>
  <si>
    <t>Enter Information about the New Compliance Rule</t>
  </si>
  <si>
    <t xml:space="preserve">Complexity </t>
  </si>
  <si>
    <t xml:space="preserve">Category (Level -1) </t>
  </si>
  <si>
    <t>Category (Level -2)</t>
  </si>
  <si>
    <t xml:space="preserve">Soft Limit </t>
  </si>
  <si>
    <t>Category (Level -1)</t>
  </si>
  <si>
    <t>S.No</t>
  </si>
  <si>
    <t>Cash Total</t>
  </si>
  <si>
    <t>Option Total</t>
  </si>
  <si>
    <t>Equity Total</t>
  </si>
  <si>
    <t>Fixed Income Total</t>
  </si>
  <si>
    <t>Futures Total</t>
  </si>
  <si>
    <t>FX Total</t>
  </si>
  <si>
    <t>OTC Total</t>
  </si>
  <si>
    <t>OmniPulse  Class B</t>
  </si>
  <si>
    <t>Renaissance Global UCITS Fund</t>
  </si>
  <si>
    <t>Funds</t>
  </si>
  <si>
    <t>OmniPulse  Class A</t>
  </si>
  <si>
    <t>Ishares UCITS Fund</t>
  </si>
  <si>
    <t>Vanguard Global UCITS Fund</t>
  </si>
  <si>
    <t>&lt;45</t>
  </si>
  <si>
    <t>&gt;24</t>
  </si>
  <si>
    <t>Rule Category (Level -1)</t>
  </si>
  <si>
    <t>Rule Category (Level -2)</t>
  </si>
  <si>
    <t xml:space="preserve">Rule </t>
  </si>
  <si>
    <t>Breach Status</t>
  </si>
  <si>
    <t>Regulation 2</t>
  </si>
  <si>
    <t>R1</t>
  </si>
  <si>
    <t>R2</t>
  </si>
  <si>
    <t/>
  </si>
  <si>
    <t>OFFSET($XES$2,0,0,COUNTA(XES2:XES25) - COUNTIF(XES2:XES25, ""))</t>
  </si>
  <si>
    <t>Choose the Rule Category from the List for the Funds</t>
  </si>
  <si>
    <t>Sum of Exposure (%)</t>
  </si>
  <si>
    <t>Exposure</t>
  </si>
  <si>
    <t>Sum of abs</t>
  </si>
  <si>
    <t>Var of Filter</t>
  </si>
  <si>
    <t>Issuers Breached 5%</t>
  </si>
  <si>
    <t>Issuers Breached 10%</t>
  </si>
  <si>
    <t>Var of Filter&gt;10</t>
  </si>
  <si>
    <t>Between 5 and 10%</t>
  </si>
  <si>
    <t>Sum of Between</t>
  </si>
  <si>
    <t>Dummy</t>
  </si>
  <si>
    <t>Breached Counterparty Name</t>
  </si>
  <si>
    <t xml:space="preserve">Rule Number 2 </t>
  </si>
  <si>
    <t>Rule Number 3</t>
  </si>
  <si>
    <t xml:space="preserve">Rule Number 5 </t>
  </si>
  <si>
    <t>Rule Number 1</t>
  </si>
  <si>
    <t xml:space="preserve">Compliance Rules </t>
  </si>
  <si>
    <t>Rule- 1</t>
  </si>
  <si>
    <t>Rule- 2</t>
  </si>
  <si>
    <t>Rule- 3</t>
  </si>
  <si>
    <t>Rule- 5</t>
  </si>
  <si>
    <t>Rule 4</t>
  </si>
  <si>
    <t>Violated Asset Classes</t>
  </si>
  <si>
    <t>Breached Securities</t>
  </si>
  <si>
    <t>Breached CounterParty Names</t>
  </si>
  <si>
    <t>Fund Information</t>
  </si>
  <si>
    <t>For More Details</t>
  </si>
  <si>
    <t xml:space="preserve">Rule -1 </t>
  </si>
  <si>
    <t>Rule -2</t>
  </si>
  <si>
    <t>Rule -3</t>
  </si>
  <si>
    <t>Rule -4</t>
  </si>
  <si>
    <t>Rule -5</t>
  </si>
  <si>
    <t>Rule -6</t>
  </si>
  <si>
    <t>Rule -7</t>
  </si>
  <si>
    <t>Breached Securities/</t>
  </si>
  <si>
    <t>Soft Limit Breaches Warnings</t>
  </si>
  <si>
    <t>Soft Limit Breaches</t>
  </si>
  <si>
    <t>Breached Securities/ counterparty Name</t>
  </si>
  <si>
    <t>Rule1</t>
  </si>
  <si>
    <t>Rule2</t>
  </si>
  <si>
    <t>Rule3</t>
  </si>
  <si>
    <t>Rule4</t>
  </si>
  <si>
    <t>Rule5</t>
  </si>
  <si>
    <t>For Soft Breaches</t>
  </si>
  <si>
    <t>Rule_3 Soft Breaches</t>
  </si>
  <si>
    <t>Rule_2 Soft Breaches</t>
  </si>
  <si>
    <t>Rule_1 Soft Breach</t>
  </si>
  <si>
    <t>Rule_5 Soft &amp; Hard Limit</t>
  </si>
  <si>
    <t>Rule 1</t>
  </si>
  <si>
    <t>Rule 2</t>
  </si>
  <si>
    <t>Rule 3</t>
  </si>
  <si>
    <t>Rule 5</t>
  </si>
  <si>
    <t>Compliance Breach Monitor</t>
  </si>
  <si>
    <t>SUMMARY DASHBOARD</t>
  </si>
  <si>
    <t xml:space="preserve">Rule Sl No.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</si>
</sst>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yyyy\-mm\-dd"/>
    <numFmt numFmtId="165" formatCode="0.0%"/>
    <numFmt numFmtId="166" formatCode="_(* #,##0.0000_);_(* \(#,##0.0000\);_(* &quot;-&quot;??_);_(@_)"/>
  </numFmts>
  <fonts count="32">
    <font>
      <sz val="10"/>
      <color rgb="FF000000"/>
      <name val="Arial"/>
      <scheme val="minor"/>
    </font>
    <font>
      <u/>
      <sz val="10"/>
      <color theme="10"/>
      <name val="Arial"/>
      <family val="2"/>
      <scheme val="minor"/>
    </font>
    <font>
      <sz val="11"/>
      <color rgb="FF000000"/>
      <name val="Aptos Narrow"/>
      <family val="2"/>
    </font>
    <font>
      <sz val="11"/>
      <name val="Aptos Narrow"/>
      <family val="2"/>
    </font>
    <font>
      <sz val="11"/>
      <color theme="1"/>
      <name val="Arial"/>
      <family val="2"/>
    </font>
    <font>
      <b/>
      <sz val="11"/>
      <color theme="1"/>
      <name val="Arial"/>
      <family val="2"/>
    </font>
    <font>
      <sz val="11"/>
      <color rgb="FF000000"/>
      <name val="Arial"/>
      <family val="2"/>
    </font>
    <font>
      <b/>
      <sz val="11"/>
      <name val="Arial"/>
      <family val="2"/>
    </font>
    <font>
      <sz val="11"/>
      <name val="Arial"/>
      <family val="2"/>
    </font>
    <font>
      <u/>
      <sz val="11"/>
      <name val="Arial"/>
      <family val="2"/>
    </font>
    <font>
      <sz val="11"/>
      <color theme="0" tint="-0.499984740745262"/>
      <name val="Aptos Narrow"/>
      <family val="2"/>
    </font>
    <font>
      <b/>
      <sz val="11"/>
      <color rgb="FFE8C471"/>
      <name val="Arial"/>
      <family val="2"/>
    </font>
    <font>
      <b/>
      <sz val="11"/>
      <color rgb="FFE8C471"/>
      <name val="Aptos Narrow"/>
      <family val="2"/>
    </font>
    <font>
      <sz val="10"/>
      <color rgb="FF000000"/>
      <name val="Arial"/>
      <family val="2"/>
      <scheme val="minor"/>
    </font>
    <font>
      <sz val="10"/>
      <color rgb="FF000000"/>
      <name val="Arial"/>
      <family val="2"/>
      <scheme val="minor"/>
    </font>
    <font>
      <b/>
      <sz val="11"/>
      <color theme="0"/>
      <name val="Arial"/>
      <family val="2"/>
      <scheme val="minor"/>
    </font>
    <font>
      <sz val="11"/>
      <color theme="0"/>
      <name val="Arial"/>
      <family val="2"/>
      <scheme val="minor"/>
    </font>
    <font>
      <b/>
      <sz val="10"/>
      <color rgb="FF000000"/>
      <name val="Arial"/>
      <family val="2"/>
      <scheme val="minor"/>
    </font>
    <font>
      <sz val="10"/>
      <color rgb="FF000000"/>
      <name val="Arial Black"/>
      <family val="2"/>
    </font>
    <font>
      <b/>
      <sz val="14"/>
      <color rgb="FF000000"/>
      <name val="Arial"/>
      <family val="2"/>
      <scheme val="minor"/>
    </font>
    <font>
      <b/>
      <sz val="11"/>
      <color rgb="FF000000"/>
      <name val="Aptos Narrow"/>
      <family val="2"/>
    </font>
    <font>
      <sz val="12"/>
      <color rgb="FF000000"/>
      <name val="Arial"/>
      <family val="2"/>
      <scheme val="minor"/>
    </font>
    <font>
      <sz val="10"/>
      <color rgb="FF000000"/>
      <name val="Arial"/>
      <family val="2"/>
      <scheme val="minor"/>
    </font>
    <font>
      <b/>
      <sz val="10"/>
      <color theme="1"/>
      <name val="Arial"/>
      <family val="2"/>
      <scheme val="minor"/>
    </font>
    <font>
      <sz val="12"/>
      <color rgb="FF000000"/>
      <name val="Wingdings 3"/>
      <family val="1"/>
      <charset val="2"/>
    </font>
    <font>
      <sz val="10"/>
      <color theme="8"/>
      <name val="Arial"/>
      <family val="2"/>
      <scheme val="minor"/>
    </font>
    <font>
      <b/>
      <sz val="10"/>
      <color theme="0"/>
      <name val="Arial"/>
      <family val="2"/>
      <scheme val="minor"/>
    </font>
    <font>
      <sz val="10"/>
      <color theme="1"/>
      <name val="Arial"/>
      <family val="2"/>
      <scheme val="minor"/>
    </font>
    <font>
      <b/>
      <sz val="11"/>
      <name val="Aptos Narrow"/>
      <family val="2"/>
    </font>
    <font>
      <sz val="8"/>
      <name val="Arial"/>
      <family val="2"/>
      <scheme val="minor"/>
    </font>
    <font>
      <b/>
      <sz val="18"/>
      <color rgb="FF000000"/>
      <name val="Calibri"/>
      <family val="2"/>
    </font>
    <font>
      <u/>
      <sz val="14"/>
      <color theme="10"/>
      <name val="Aharoni"/>
      <charset val="177"/>
    </font>
  </fonts>
  <fills count="23">
    <fill>
      <patternFill patternType="none"/>
    </fill>
    <fill>
      <patternFill patternType="gray125"/>
    </fill>
    <fill>
      <patternFill patternType="solid">
        <fgColor rgb="FFFFFFFF"/>
        <bgColor rgb="FFFFFFFF"/>
      </patternFill>
    </fill>
    <fill>
      <patternFill patternType="solid">
        <fgColor theme="1" tint="4.9989318521683403E-2"/>
        <bgColor rgb="FFD9EAD3"/>
      </patternFill>
    </fill>
    <fill>
      <patternFill patternType="solid">
        <fgColor theme="0"/>
        <bgColor rgb="FFFCE5CD"/>
      </patternFill>
    </fill>
    <fill>
      <patternFill patternType="solid">
        <fgColor theme="0"/>
        <bgColor indexed="64"/>
      </patternFill>
    </fill>
    <fill>
      <patternFill patternType="solid">
        <fgColor theme="1" tint="4.9989318521683403E-2"/>
        <bgColor rgb="FFEFEFEF"/>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8"/>
      </patternFill>
    </fill>
    <fill>
      <patternFill patternType="solid">
        <fgColor rgb="FF3EF90F"/>
        <bgColor indexed="64"/>
      </patternFill>
    </fill>
    <fill>
      <patternFill patternType="solid">
        <fgColor rgb="FF635D7C"/>
        <bgColor indexed="64"/>
      </patternFill>
    </fill>
    <fill>
      <patternFill patternType="solid">
        <fgColor rgb="FF67440E"/>
        <bgColor indexed="64"/>
      </patternFill>
    </fill>
    <fill>
      <patternFill patternType="solid">
        <fgColor theme="4"/>
        <bgColor theme="4"/>
      </patternFill>
    </fill>
    <fill>
      <patternFill patternType="solid">
        <fgColor theme="2" tint="-0.14999847407452621"/>
        <bgColor indexed="64"/>
      </patternFill>
    </fill>
    <fill>
      <patternFill patternType="solid">
        <fgColor rgb="FFDBC95F"/>
        <bgColor indexed="64"/>
      </patternFill>
    </fill>
    <fill>
      <patternFill patternType="solid">
        <fgColor rgb="FFAC049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6"/>
        <bgColor indexed="64"/>
      </patternFill>
    </fill>
    <fill>
      <patternFill patternType="solid">
        <fgColor theme="3" tint="0.499984740745262"/>
        <bgColor indexed="64"/>
      </patternFill>
    </fill>
    <fill>
      <patternFill patternType="solid">
        <fgColor theme="6" tint="0.39997558519241921"/>
        <bgColor indexed="64"/>
      </patternFill>
    </fill>
    <fill>
      <patternFill patternType="solid">
        <fgColor theme="3" tint="0.34998626667073579"/>
        <bgColor indexed="64"/>
      </patternFill>
    </fill>
  </fills>
  <borders count="36">
    <border>
      <left/>
      <right/>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indexed="64"/>
      </left>
      <right style="thin">
        <color indexed="64"/>
      </right>
      <top/>
      <bottom style="thin">
        <color indexed="64"/>
      </bottom>
      <diagonal/>
    </border>
    <border>
      <left style="thin">
        <color rgb="FF000000"/>
      </left>
      <right/>
      <top style="thin">
        <color rgb="FF000000"/>
      </top>
      <bottom/>
      <diagonal/>
    </border>
    <border>
      <left/>
      <right/>
      <top/>
      <bottom style="thin">
        <color theme="4" tint="0.39997558519241921"/>
      </bottom>
      <diagonal/>
    </border>
    <border>
      <left/>
      <right/>
      <top style="thin">
        <color rgb="FF000000"/>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top style="thin">
        <color rgb="FF000000"/>
      </top>
      <bottom/>
      <diagonal/>
    </border>
    <border>
      <left style="thin">
        <color theme="4" tint="0.39997558519241921"/>
      </left>
      <right/>
      <top style="thin">
        <color theme="4" tint="0.39997558519241921"/>
      </top>
      <bottom/>
      <diagonal/>
    </border>
    <border>
      <left style="thin">
        <color rgb="FF000000"/>
      </left>
      <right/>
      <top/>
      <bottom/>
      <diagonal/>
    </border>
    <border>
      <left style="thin">
        <color rgb="FF000000"/>
      </left>
      <right/>
      <top style="thin">
        <color rgb="FF000000"/>
      </top>
      <bottom style="thin">
        <color rgb="FF000000"/>
      </bottom>
      <diagonal/>
    </border>
  </borders>
  <cellStyleXfs count="6">
    <xf numFmtId="0" fontId="0" fillId="0" borderId="0"/>
    <xf numFmtId="0" fontId="1" fillId="0" borderId="0" applyNumberFormat="0" applyFill="0" applyBorder="0" applyAlignment="0" applyProtection="0"/>
    <xf numFmtId="43" fontId="13" fillId="0" borderId="0" applyFont="0" applyFill="0" applyBorder="0" applyAlignment="0" applyProtection="0"/>
    <xf numFmtId="0" fontId="16" fillId="9" borderId="0" applyNumberFormat="0" applyBorder="0" applyAlignment="0" applyProtection="0"/>
    <xf numFmtId="9" fontId="22" fillId="0" borderId="0" applyFont="0" applyFill="0" applyBorder="0" applyAlignment="0" applyProtection="0"/>
    <xf numFmtId="43" fontId="22" fillId="0" borderId="0" applyFont="0" applyFill="0" applyBorder="0" applyAlignment="0" applyProtection="0"/>
  </cellStyleXfs>
  <cellXfs count="213">
    <xf numFmtId="0" fontId="0" fillId="0" borderId="0" xfId="0"/>
    <xf numFmtId="0" fontId="2" fillId="0" borderId="0" xfId="0" applyFont="1" applyAlignment="1">
      <alignment vertical="center"/>
    </xf>
    <xf numFmtId="0" fontId="2" fillId="0" borderId="0" xfId="0" applyFont="1"/>
    <xf numFmtId="0" fontId="2" fillId="0" borderId="0" xfId="0" applyFont="1" applyAlignment="1">
      <alignment horizontal="right" vertical="center"/>
    </xf>
    <xf numFmtId="0" fontId="3" fillId="0" borderId="0" xfId="0" applyFont="1"/>
    <xf numFmtId="2" fontId="3" fillId="0" borderId="0" xfId="0" applyNumberFormat="1" applyFont="1"/>
    <xf numFmtId="0" fontId="10" fillId="0" borderId="0" xfId="0" applyFont="1" applyAlignment="1">
      <alignment vertical="center"/>
    </xf>
    <xf numFmtId="0" fontId="8" fillId="0" borderId="1" xfId="0" applyFont="1" applyBorder="1" applyAlignment="1">
      <alignment horizontal="left" vertical="center"/>
    </xf>
    <xf numFmtId="0" fontId="11" fillId="3" borderId="1" xfId="0" applyFont="1" applyFill="1" applyBorder="1" applyAlignment="1">
      <alignment vertical="center"/>
    </xf>
    <xf numFmtId="0" fontId="4" fillId="0" borderId="1" xfId="0" applyFont="1" applyBorder="1" applyAlignment="1">
      <alignment horizontal="left" vertical="center"/>
    </xf>
    <xf numFmtId="0" fontId="4" fillId="0" borderId="1" xfId="0" applyFont="1" applyBorder="1" applyAlignment="1">
      <alignment vertical="center"/>
    </xf>
    <xf numFmtId="0" fontId="4" fillId="0" borderId="1" xfId="0" applyFont="1" applyBorder="1" applyAlignment="1">
      <alignment vertical="center" wrapText="1"/>
    </xf>
    <xf numFmtId="0" fontId="11" fillId="3" borderId="1" xfId="0" applyFont="1" applyFill="1" applyBorder="1" applyAlignment="1">
      <alignment horizontal="left" vertical="center"/>
    </xf>
    <xf numFmtId="164" fontId="8" fillId="0" borderId="1" xfId="0" applyNumberFormat="1" applyFont="1" applyBorder="1"/>
    <xf numFmtId="0" fontId="8" fillId="0" borderId="1" xfId="0" applyFont="1" applyBorder="1"/>
    <xf numFmtId="0" fontId="8" fillId="2" borderId="1" xfId="0" applyFont="1" applyFill="1" applyBorder="1" applyAlignment="1">
      <alignment horizontal="left"/>
    </xf>
    <xf numFmtId="165" fontId="8" fillId="0" borderId="1" xfId="0" applyNumberFormat="1" applyFont="1" applyBorder="1" applyAlignment="1">
      <alignment horizontal="center"/>
    </xf>
    <xf numFmtId="10" fontId="8" fillId="0" borderId="1" xfId="0" applyNumberFormat="1" applyFont="1" applyBorder="1" applyAlignment="1">
      <alignment horizontal="center"/>
    </xf>
    <xf numFmtId="164" fontId="8" fillId="0" borderId="1" xfId="0" applyNumberFormat="1" applyFont="1" applyBorder="1" applyAlignment="1">
      <alignment horizontal="left"/>
    </xf>
    <xf numFmtId="43" fontId="3" fillId="0" borderId="0" xfId="2" applyFont="1"/>
    <xf numFmtId="43" fontId="8" fillId="0" borderId="1" xfId="2" applyFont="1" applyBorder="1"/>
    <xf numFmtId="43" fontId="8" fillId="0" borderId="1" xfId="2" applyFont="1" applyBorder="1" applyAlignment="1">
      <alignment horizontal="right"/>
    </xf>
    <xf numFmtId="0" fontId="8" fillId="7" borderId="1" xfId="0" applyFont="1" applyFill="1" applyBorder="1"/>
    <xf numFmtId="43" fontId="8" fillId="8" borderId="1" xfId="2" applyFont="1" applyFill="1" applyBorder="1"/>
    <xf numFmtId="43" fontId="8" fillId="8" borderId="1" xfId="2" applyFont="1" applyFill="1" applyBorder="1" applyAlignment="1">
      <alignment horizontal="right"/>
    </xf>
    <xf numFmtId="0" fontId="0" fillId="5" borderId="0" xfId="0" applyFill="1"/>
    <xf numFmtId="0" fontId="14" fillId="0" borderId="0" xfId="0" applyFont="1"/>
    <xf numFmtId="0" fontId="11" fillId="3" borderId="2" xfId="0" applyFont="1" applyFill="1" applyBorder="1" applyAlignment="1">
      <alignment vertical="center"/>
    </xf>
    <xf numFmtId="0" fontId="11" fillId="3" borderId="2" xfId="0" applyFont="1" applyFill="1" applyBorder="1" applyAlignment="1">
      <alignment horizontal="right" vertical="center"/>
    </xf>
    <xf numFmtId="0" fontId="7" fillId="0" borderId="2" xfId="0" applyFont="1" applyBorder="1" applyAlignment="1">
      <alignment horizontal="left" vertical="center"/>
    </xf>
    <xf numFmtId="0" fontId="8" fillId="0" borderId="2" xfId="0" applyFont="1" applyBorder="1" applyAlignment="1">
      <alignment horizontal="left" vertical="center"/>
    </xf>
    <xf numFmtId="0" fontId="8" fillId="0" borderId="2" xfId="0" applyFont="1" applyBorder="1" applyAlignment="1">
      <alignment horizontal="left" vertical="center" wrapText="1"/>
    </xf>
    <xf numFmtId="9" fontId="8" fillId="0" borderId="2" xfId="0" applyNumberFormat="1" applyFont="1" applyBorder="1" applyAlignment="1">
      <alignment horizontal="left" vertical="center"/>
    </xf>
    <xf numFmtId="0" fontId="9" fillId="0" borderId="2" xfId="1" applyFont="1" applyBorder="1" applyAlignment="1">
      <alignment horizontal="left" vertical="center"/>
    </xf>
    <xf numFmtId="0" fontId="0" fillId="0" borderId="2" xfId="0" applyBorder="1"/>
    <xf numFmtId="0" fontId="2" fillId="0" borderId="2" xfId="0" applyFont="1" applyBorder="1" applyAlignment="1">
      <alignment vertical="center"/>
    </xf>
    <xf numFmtId="164" fontId="8" fillId="0" borderId="21" xfId="0" applyNumberFormat="1" applyFont="1" applyBorder="1" applyAlignment="1">
      <alignment horizontal="left"/>
    </xf>
    <xf numFmtId="0" fontId="8" fillId="0" borderId="21" xfId="0" applyFont="1" applyBorder="1"/>
    <xf numFmtId="164" fontId="8" fillId="0" borderId="21" xfId="0" applyNumberFormat="1" applyFont="1" applyBorder="1"/>
    <xf numFmtId="43" fontId="8" fillId="0" borderId="21" xfId="2" applyFont="1" applyBorder="1"/>
    <xf numFmtId="164" fontId="8" fillId="0" borderId="2" xfId="0" applyNumberFormat="1" applyFont="1" applyBorder="1" applyAlignment="1">
      <alignment horizontal="left"/>
    </xf>
    <xf numFmtId="0" fontId="8" fillId="0" borderId="2" xfId="0" applyFont="1" applyBorder="1"/>
    <xf numFmtId="164" fontId="8" fillId="0" borderId="2" xfId="0" applyNumberFormat="1" applyFont="1" applyBorder="1"/>
    <xf numFmtId="43" fontId="8" fillId="0" borderId="2" xfId="2" applyFont="1" applyBorder="1"/>
    <xf numFmtId="43" fontId="8" fillId="8" borderId="2" xfId="2" applyFont="1" applyFill="1" applyBorder="1"/>
    <xf numFmtId="10" fontId="8" fillId="0" borderId="2" xfId="0" applyNumberFormat="1" applyFont="1" applyBorder="1" applyAlignment="1">
      <alignment horizontal="center"/>
    </xf>
    <xf numFmtId="14" fontId="3" fillId="0" borderId="2" xfId="0" applyNumberFormat="1" applyFont="1" applyBorder="1"/>
    <xf numFmtId="0" fontId="3" fillId="0" borderId="2" xfId="0" applyFont="1" applyBorder="1"/>
    <xf numFmtId="43" fontId="3" fillId="0" borderId="2" xfId="2" applyFont="1" applyBorder="1"/>
    <xf numFmtId="43" fontId="7" fillId="0" borderId="2" xfId="0" applyNumberFormat="1" applyFont="1" applyBorder="1"/>
    <xf numFmtId="14" fontId="10" fillId="0" borderId="2" xfId="0" applyNumberFormat="1" applyFont="1" applyBorder="1" applyAlignment="1">
      <alignment vertical="center"/>
    </xf>
    <xf numFmtId="0" fontId="0" fillId="0" borderId="0" xfId="0" applyAlignment="1">
      <alignment vertical="center"/>
    </xf>
    <xf numFmtId="0" fontId="12" fillId="6" borderId="22" xfId="0" applyFont="1" applyFill="1" applyBorder="1" applyAlignment="1">
      <alignment horizontal="left"/>
    </xf>
    <xf numFmtId="43" fontId="12" fillId="6" borderId="22" xfId="2" applyFont="1" applyFill="1" applyBorder="1" applyAlignment="1">
      <alignment horizontal="left"/>
    </xf>
    <xf numFmtId="0" fontId="12" fillId="6" borderId="22" xfId="0" applyFont="1" applyFill="1" applyBorder="1"/>
    <xf numFmtId="43" fontId="12" fillId="6" borderId="22" xfId="2" applyFont="1" applyFill="1" applyBorder="1"/>
    <xf numFmtId="0" fontId="18" fillId="0" borderId="0" xfId="0" applyFont="1" applyAlignment="1">
      <alignment horizontal="center" vertical="center"/>
    </xf>
    <xf numFmtId="0" fontId="18" fillId="0" borderId="0" xfId="0" applyFont="1" applyAlignment="1">
      <alignment vertical="center"/>
    </xf>
    <xf numFmtId="0" fontId="18" fillId="5" borderId="0" xfId="0" applyFont="1" applyFill="1" applyAlignment="1">
      <alignment horizontal="left" vertical="center"/>
    </xf>
    <xf numFmtId="0" fontId="20" fillId="0" borderId="0" xfId="0" applyFont="1" applyAlignment="1">
      <alignment vertical="center"/>
    </xf>
    <xf numFmtId="0" fontId="21" fillId="0" borderId="2" xfId="0" applyFont="1" applyBorder="1" applyAlignment="1">
      <alignment horizontal="center" vertical="center"/>
    </xf>
    <xf numFmtId="0" fontId="19" fillId="5" borderId="2" xfId="0" applyFont="1" applyFill="1" applyBorder="1" applyAlignment="1">
      <alignment horizontal="center" vertical="center"/>
    </xf>
    <xf numFmtId="0" fontId="0" fillId="10" borderId="0" xfId="0" applyFill="1"/>
    <xf numFmtId="0" fontId="0" fillId="11" borderId="0" xfId="0" applyFill="1"/>
    <xf numFmtId="0" fontId="0" fillId="12" borderId="0" xfId="0" applyFill="1"/>
    <xf numFmtId="0" fontId="21" fillId="0" borderId="23" xfId="0" applyFont="1" applyBorder="1" applyAlignment="1">
      <alignment horizontal="center" vertical="center"/>
    </xf>
    <xf numFmtId="0" fontId="0" fillId="0" borderId="0" xfId="0" pivotButton="1"/>
    <xf numFmtId="0" fontId="8" fillId="8" borderId="24" xfId="0" applyFont="1" applyFill="1" applyBorder="1"/>
    <xf numFmtId="0" fontId="8" fillId="0" borderId="24" xfId="0" applyFont="1" applyBorder="1"/>
    <xf numFmtId="0" fontId="8" fillId="2" borderId="24" xfId="0" applyFont="1" applyFill="1" applyBorder="1" applyAlignment="1">
      <alignment horizontal="left"/>
    </xf>
    <xf numFmtId="164" fontId="8" fillId="0" borderId="24" xfId="0" applyNumberFormat="1" applyFont="1" applyBorder="1"/>
    <xf numFmtId="165" fontId="8" fillId="0" borderId="24" xfId="0" applyNumberFormat="1" applyFont="1" applyBorder="1" applyAlignment="1">
      <alignment horizontal="center"/>
    </xf>
    <xf numFmtId="164" fontId="8" fillId="8" borderId="24" xfId="0" applyNumberFormat="1" applyFont="1" applyFill="1" applyBorder="1"/>
    <xf numFmtId="165" fontId="8" fillId="8" borderId="24" xfId="0" applyNumberFormat="1" applyFont="1" applyFill="1" applyBorder="1" applyAlignment="1">
      <alignment horizontal="center"/>
    </xf>
    <xf numFmtId="10" fontId="8" fillId="0" borderId="24" xfId="0" applyNumberFormat="1" applyFont="1" applyBorder="1" applyAlignment="1">
      <alignment horizontal="center"/>
    </xf>
    <xf numFmtId="10" fontId="8" fillId="8" borderId="24" xfId="0" applyNumberFormat="1" applyFont="1" applyFill="1" applyBorder="1" applyAlignment="1">
      <alignment horizontal="center"/>
    </xf>
    <xf numFmtId="10" fontId="0" fillId="0" borderId="0" xfId="0" applyNumberFormat="1"/>
    <xf numFmtId="0" fontId="23" fillId="8" borderId="25" xfId="0" applyFont="1" applyFill="1" applyBorder="1"/>
    <xf numFmtId="0" fontId="13" fillId="5" borderId="0" xfId="0" applyFont="1" applyFill="1"/>
    <xf numFmtId="0" fontId="24" fillId="0" borderId="2" xfId="0" applyFont="1" applyBorder="1" applyAlignment="1">
      <alignment horizontal="center" vertical="center"/>
    </xf>
    <xf numFmtId="0" fontId="0" fillId="15" borderId="0" xfId="0" applyFill="1"/>
    <xf numFmtId="0" fontId="13" fillId="0" borderId="2" xfId="0" applyFont="1" applyBorder="1"/>
    <xf numFmtId="43" fontId="0" fillId="0" borderId="0" xfId="0" applyNumberFormat="1"/>
    <xf numFmtId="0" fontId="13" fillId="0" borderId="0" xfId="0" applyFont="1"/>
    <xf numFmtId="0" fontId="0" fillId="16" borderId="0" xfId="0" applyFill="1"/>
    <xf numFmtId="43" fontId="3" fillId="0" borderId="0" xfId="5" applyFont="1"/>
    <xf numFmtId="9" fontId="0" fillId="0" borderId="0" xfId="4" applyFont="1"/>
    <xf numFmtId="10" fontId="0" fillId="0" borderId="0" xfId="4" applyNumberFormat="1" applyFont="1"/>
    <xf numFmtId="0" fontId="28" fillId="13" borderId="31" xfId="0" applyFont="1" applyFill="1" applyBorder="1"/>
    <xf numFmtId="43" fontId="8" fillId="8" borderId="24" xfId="5" applyFont="1" applyFill="1" applyBorder="1"/>
    <xf numFmtId="43" fontId="3" fillId="8" borderId="31" xfId="0" applyNumberFormat="1" applyFont="1" applyFill="1" applyBorder="1"/>
    <xf numFmtId="43" fontId="8" fillId="0" borderId="24" xfId="5" applyFont="1" applyBorder="1"/>
    <xf numFmtId="43" fontId="3" fillId="0" borderId="31" xfId="0" applyNumberFormat="1" applyFont="1" applyBorder="1"/>
    <xf numFmtId="43" fontId="8" fillId="0" borderId="24" xfId="5" applyFont="1" applyBorder="1" applyAlignment="1">
      <alignment horizontal="right"/>
    </xf>
    <xf numFmtId="43" fontId="8" fillId="8" borderId="24" xfId="5" applyFont="1" applyFill="1" applyBorder="1" applyAlignment="1">
      <alignment horizontal="right"/>
    </xf>
    <xf numFmtId="0" fontId="3" fillId="8" borderId="32" xfId="0" applyFont="1" applyFill="1" applyBorder="1"/>
    <xf numFmtId="0" fontId="3" fillId="8" borderId="26" xfId="0" applyFont="1" applyFill="1" applyBorder="1"/>
    <xf numFmtId="0" fontId="3" fillId="8" borderId="30" xfId="0" applyFont="1" applyFill="1" applyBorder="1"/>
    <xf numFmtId="164" fontId="3" fillId="0" borderId="33" xfId="0" applyNumberFormat="1" applyFont="1" applyBorder="1" applyAlignment="1">
      <alignment horizontal="right"/>
    </xf>
    <xf numFmtId="0" fontId="3" fillId="0" borderId="30" xfId="0" applyFont="1" applyBorder="1"/>
    <xf numFmtId="43" fontId="3" fillId="0" borderId="30" xfId="5" applyFont="1" applyBorder="1"/>
    <xf numFmtId="0" fontId="3" fillId="0" borderId="31" xfId="0" applyFont="1" applyBorder="1"/>
    <xf numFmtId="0" fontId="3" fillId="8" borderId="33" xfId="0" applyFont="1" applyFill="1" applyBorder="1"/>
    <xf numFmtId="43" fontId="3" fillId="8" borderId="30" xfId="5" applyFont="1" applyFill="1" applyBorder="1"/>
    <xf numFmtId="0" fontId="3" fillId="8" borderId="31" xfId="0" applyFont="1" applyFill="1" applyBorder="1"/>
    <xf numFmtId="0" fontId="3" fillId="0" borderId="27" xfId="0" applyFont="1" applyBorder="1"/>
    <xf numFmtId="0" fontId="3" fillId="0" borderId="28" xfId="0" applyFont="1" applyBorder="1"/>
    <xf numFmtId="43" fontId="3" fillId="0" borderId="28" xfId="5" applyFont="1" applyBorder="1"/>
    <xf numFmtId="0" fontId="3" fillId="0" borderId="29" xfId="0" applyFont="1" applyBorder="1"/>
    <xf numFmtId="0" fontId="28" fillId="13" borderId="30" xfId="0" applyFont="1" applyFill="1" applyBorder="1"/>
    <xf numFmtId="0" fontId="12" fillId="6" borderId="0" xfId="0" applyFont="1" applyFill="1" applyAlignment="1">
      <alignment horizontal="left"/>
    </xf>
    <xf numFmtId="0" fontId="12" fillId="6" borderId="34" xfId="0" applyFont="1" applyFill="1" applyBorder="1" applyAlignment="1">
      <alignment horizontal="left"/>
    </xf>
    <xf numFmtId="43" fontId="12" fillId="6" borderId="34" xfId="5" applyFont="1" applyFill="1" applyBorder="1" applyAlignment="1">
      <alignment horizontal="left"/>
    </xf>
    <xf numFmtId="0" fontId="12" fillId="6" borderId="34" xfId="0" applyFont="1" applyFill="1" applyBorder="1"/>
    <xf numFmtId="0" fontId="3" fillId="8" borderId="0" xfId="0" applyFont="1" applyFill="1"/>
    <xf numFmtId="43" fontId="3" fillId="8" borderId="0" xfId="5" applyFont="1" applyFill="1" applyBorder="1"/>
    <xf numFmtId="0" fontId="8" fillId="0" borderId="35" xfId="0" applyFont="1" applyBorder="1"/>
    <xf numFmtId="164" fontId="8" fillId="0" borderId="35" xfId="0" applyNumberFormat="1" applyFont="1" applyBorder="1"/>
    <xf numFmtId="43" fontId="8" fillId="0" borderId="35" xfId="5" applyFont="1" applyBorder="1"/>
    <xf numFmtId="10" fontId="8" fillId="0" borderId="35" xfId="0" applyNumberFormat="1" applyFont="1" applyBorder="1" applyAlignment="1">
      <alignment horizontal="center"/>
    </xf>
    <xf numFmtId="164" fontId="8" fillId="8" borderId="26" xfId="0" applyNumberFormat="1" applyFont="1" applyFill="1" applyBorder="1" applyAlignment="1">
      <alignment horizontal="left"/>
    </xf>
    <xf numFmtId="164" fontId="8" fillId="0" borderId="26" xfId="0" applyNumberFormat="1" applyFont="1" applyBorder="1" applyAlignment="1">
      <alignment horizontal="left"/>
    </xf>
    <xf numFmtId="0" fontId="0" fillId="17" borderId="0" xfId="0" applyFill="1"/>
    <xf numFmtId="0" fontId="23" fillId="8" borderId="0" xfId="0" applyFont="1" applyFill="1"/>
    <xf numFmtId="2" fontId="8" fillId="8" borderId="24" xfId="2" applyNumberFormat="1" applyFont="1" applyFill="1" applyBorder="1"/>
    <xf numFmtId="2" fontId="8" fillId="0" borderId="24" xfId="2" applyNumberFormat="1" applyFont="1" applyBorder="1"/>
    <xf numFmtId="2" fontId="8" fillId="0" borderId="24" xfId="2" applyNumberFormat="1" applyFont="1" applyBorder="1" applyAlignment="1">
      <alignment horizontal="right"/>
    </xf>
    <xf numFmtId="2" fontId="8" fillId="8" borderId="24" xfId="2" applyNumberFormat="1" applyFont="1" applyFill="1" applyBorder="1" applyAlignment="1">
      <alignment horizontal="right"/>
    </xf>
    <xf numFmtId="2" fontId="8" fillId="0" borderId="35" xfId="2" applyNumberFormat="1" applyFont="1" applyBorder="1"/>
    <xf numFmtId="166" fontId="0" fillId="0" borderId="0" xfId="0" applyNumberFormat="1"/>
    <xf numFmtId="49" fontId="0" fillId="0" borderId="0" xfId="0" applyNumberFormat="1"/>
    <xf numFmtId="0" fontId="23" fillId="8" borderId="25" xfId="0" applyFont="1" applyFill="1" applyBorder="1" applyAlignment="1">
      <alignment horizontal="center"/>
    </xf>
    <xf numFmtId="0" fontId="17" fillId="0" borderId="2" xfId="0" applyFont="1" applyBorder="1"/>
    <xf numFmtId="0" fontId="26" fillId="13" borderId="33" xfId="0" applyFont="1" applyFill="1" applyBorder="1"/>
    <xf numFmtId="0" fontId="26" fillId="13" borderId="30" xfId="0" applyFont="1" applyFill="1" applyBorder="1"/>
    <xf numFmtId="0" fontId="26" fillId="13" borderId="31" xfId="0" applyFont="1" applyFill="1" applyBorder="1"/>
    <xf numFmtId="0" fontId="27" fillId="8" borderId="33" xfId="0" applyFont="1" applyFill="1" applyBorder="1"/>
    <xf numFmtId="0" fontId="27" fillId="8" borderId="30" xfId="0" applyFont="1" applyFill="1" applyBorder="1"/>
    <xf numFmtId="0" fontId="27" fillId="8" borderId="31" xfId="0" applyFont="1" applyFill="1" applyBorder="1"/>
    <xf numFmtId="0" fontId="27" fillId="0" borderId="33" xfId="0" applyFont="1" applyBorder="1"/>
    <xf numFmtId="0" fontId="27" fillId="0" borderId="30" xfId="0" applyFont="1" applyBorder="1"/>
    <xf numFmtId="0" fontId="27" fillId="0" borderId="31" xfId="0" applyFont="1" applyBorder="1"/>
    <xf numFmtId="0" fontId="27" fillId="8" borderId="27" xfId="0" applyFont="1" applyFill="1" applyBorder="1"/>
    <xf numFmtId="0" fontId="4" fillId="0" borderId="24" xfId="0" applyFont="1" applyBorder="1" applyAlignment="1">
      <alignment horizontal="left" vertical="top"/>
    </xf>
    <xf numFmtId="0" fontId="4" fillId="8" borderId="24" xfId="0" applyFont="1" applyFill="1" applyBorder="1" applyAlignment="1">
      <alignment horizontal="left" vertical="top"/>
    </xf>
    <xf numFmtId="0" fontId="4" fillId="8" borderId="26" xfId="0" applyFont="1" applyFill="1" applyBorder="1" applyAlignment="1">
      <alignment horizontal="left" vertical="top"/>
    </xf>
    <xf numFmtId="0" fontId="4" fillId="0" borderId="26" xfId="0" applyFont="1" applyBorder="1" applyAlignment="1">
      <alignment horizontal="left" vertical="top"/>
    </xf>
    <xf numFmtId="0" fontId="11" fillId="3" borderId="0" xfId="0" applyFont="1" applyFill="1"/>
    <xf numFmtId="0" fontId="11" fillId="3" borderId="34" xfId="0" applyFont="1" applyFill="1" applyBorder="1"/>
    <xf numFmtId="0" fontId="0" fillId="17" borderId="13" xfId="0" applyFill="1" applyBorder="1"/>
    <xf numFmtId="0" fontId="0" fillId="17" borderId="14" xfId="0" applyFill="1" applyBorder="1"/>
    <xf numFmtId="0" fontId="0" fillId="17" borderId="15" xfId="0" applyFill="1" applyBorder="1"/>
    <xf numFmtId="0" fontId="0" fillId="17" borderId="16" xfId="0" applyFill="1" applyBorder="1"/>
    <xf numFmtId="0" fontId="0" fillId="17" borderId="17" xfId="0" applyFill="1" applyBorder="1"/>
    <xf numFmtId="0" fontId="0" fillId="17" borderId="18" xfId="0" applyFill="1" applyBorder="1"/>
    <xf numFmtId="0" fontId="0" fillId="17" borderId="19" xfId="0" applyFill="1" applyBorder="1"/>
    <xf numFmtId="0" fontId="0" fillId="17" borderId="20" xfId="0" applyFill="1" applyBorder="1"/>
    <xf numFmtId="0" fontId="17" fillId="17" borderId="0" xfId="0" applyFont="1" applyFill="1" applyAlignment="1">
      <alignment horizontal="center"/>
    </xf>
    <xf numFmtId="0" fontId="17" fillId="17" borderId="0" xfId="0" applyFont="1" applyFill="1"/>
    <xf numFmtId="0" fontId="17" fillId="17" borderId="0" xfId="0" applyFont="1" applyFill="1" applyAlignment="1">
      <alignment horizontal="left"/>
    </xf>
    <xf numFmtId="0" fontId="14" fillId="17" borderId="0" xfId="0" applyFont="1" applyFill="1"/>
    <xf numFmtId="0" fontId="0" fillId="14" borderId="0" xfId="0" applyFill="1"/>
    <xf numFmtId="0" fontId="0" fillId="17" borderId="2" xfId="0" applyFill="1" applyBorder="1" applyAlignment="1">
      <alignment horizontal="center"/>
    </xf>
    <xf numFmtId="0" fontId="2" fillId="18" borderId="0" xfId="0" applyFont="1" applyFill="1" applyAlignment="1">
      <alignment vertical="center"/>
    </xf>
    <xf numFmtId="0" fontId="3" fillId="18" borderId="0" xfId="0" applyFont="1" applyFill="1"/>
    <xf numFmtId="0" fontId="23" fillId="8" borderId="2" xfId="0" applyFont="1" applyFill="1" applyBorder="1"/>
    <xf numFmtId="0" fontId="8" fillId="0" borderId="0" xfId="0" applyFont="1" applyAlignment="1">
      <alignment horizontal="left" vertical="center"/>
    </xf>
    <xf numFmtId="0" fontId="19" fillId="17" borderId="0" xfId="0" applyFont="1" applyFill="1" applyAlignment="1">
      <alignment horizontal="left"/>
    </xf>
    <xf numFmtId="0" fontId="21" fillId="17" borderId="0" xfId="0" applyFont="1" applyFill="1"/>
    <xf numFmtId="0" fontId="19" fillId="17" borderId="2" xfId="0" applyFont="1" applyFill="1" applyBorder="1" applyAlignment="1">
      <alignment horizontal="left"/>
    </xf>
    <xf numFmtId="0" fontId="21" fillId="17" borderId="2" xfId="0" applyFont="1" applyFill="1" applyBorder="1" applyAlignment="1">
      <alignment horizontal="center"/>
    </xf>
    <xf numFmtId="0" fontId="21" fillId="17" borderId="2" xfId="0" applyFont="1" applyFill="1" applyBorder="1"/>
    <xf numFmtId="0" fontId="19" fillId="17" borderId="2" xfId="0" applyFont="1" applyFill="1" applyBorder="1" applyAlignment="1">
      <alignment horizontal="center"/>
    </xf>
    <xf numFmtId="0" fontId="0" fillId="20" borderId="0" xfId="0" applyFill="1"/>
    <xf numFmtId="0" fontId="0" fillId="22" borderId="0" xfId="0" applyFill="1"/>
    <xf numFmtId="0" fontId="11" fillId="3" borderId="4" xfId="0" applyFont="1" applyFill="1" applyBorder="1" applyAlignment="1">
      <alignment horizontal="right" vertical="center"/>
    </xf>
    <xf numFmtId="0" fontId="8" fillId="0" borderId="4" xfId="0" applyFont="1" applyBorder="1" applyAlignment="1">
      <alignment horizontal="left" vertical="center"/>
    </xf>
    <xf numFmtId="9" fontId="8" fillId="0" borderId="4" xfId="0" applyNumberFormat="1" applyFont="1" applyBorder="1" applyAlignment="1">
      <alignment horizontal="left" vertical="center"/>
    </xf>
    <xf numFmtId="0" fontId="0" fillId="0" borderId="4" xfId="0" applyBorder="1"/>
    <xf numFmtId="0" fontId="2" fillId="0" borderId="4" xfId="0" applyFont="1" applyBorder="1" applyAlignment="1">
      <alignment horizontal="right" vertical="center"/>
    </xf>
    <xf numFmtId="0" fontId="2" fillId="0" borderId="23" xfId="0" applyFont="1" applyBorder="1" applyAlignment="1">
      <alignment vertical="center"/>
    </xf>
    <xf numFmtId="0" fontId="2" fillId="0" borderId="23" xfId="0" applyFont="1" applyBorder="1" applyAlignment="1">
      <alignment horizontal="right" vertical="center"/>
    </xf>
    <xf numFmtId="0" fontId="0" fillId="17" borderId="0" xfId="0" applyFill="1" applyProtection="1">
      <protection locked="0"/>
    </xf>
    <xf numFmtId="0" fontId="4" fillId="0" borderId="0" xfId="0" applyFont="1" applyAlignment="1">
      <alignment vertical="center" wrapText="1"/>
    </xf>
    <xf numFmtId="0" fontId="6" fillId="0" borderId="0" xfId="0" applyFont="1"/>
    <xf numFmtId="0" fontId="10" fillId="4" borderId="0" xfId="0" applyFont="1" applyFill="1" applyAlignment="1">
      <alignment horizontal="left" vertical="center" wrapText="1"/>
    </xf>
    <xf numFmtId="0" fontId="10" fillId="5" borderId="0" xfId="0" applyFont="1" applyFill="1" applyAlignment="1">
      <alignment horizontal="left"/>
    </xf>
    <xf numFmtId="0" fontId="25" fillId="5" borderId="11" xfId="0" applyFont="1" applyFill="1" applyBorder="1" applyAlignment="1">
      <alignment horizontal="center"/>
    </xf>
    <xf numFmtId="0" fontId="19" fillId="19" borderId="11" xfId="0" applyFont="1" applyFill="1" applyBorder="1" applyAlignment="1">
      <alignment horizontal="center" vertical="center"/>
    </xf>
    <xf numFmtId="0" fontId="21" fillId="17" borderId="3" xfId="0" applyFont="1" applyFill="1" applyBorder="1" applyAlignment="1">
      <alignment horizontal="center"/>
    </xf>
    <xf numFmtId="0" fontId="21" fillId="17" borderId="4" xfId="0" applyFont="1" applyFill="1" applyBorder="1" applyAlignment="1">
      <alignment horizontal="center"/>
    </xf>
    <xf numFmtId="0" fontId="30" fillId="21" borderId="0" xfId="0" applyFont="1" applyFill="1" applyAlignment="1">
      <alignment horizontal="center"/>
    </xf>
    <xf numFmtId="0" fontId="31" fillId="17" borderId="0" xfId="1" applyFont="1" applyFill="1" applyAlignment="1">
      <alignment horizontal="center"/>
    </xf>
    <xf numFmtId="0" fontId="30" fillId="17" borderId="0" xfId="0" applyFont="1" applyFill="1" applyAlignment="1">
      <alignment horizontal="center"/>
    </xf>
    <xf numFmtId="0" fontId="19" fillId="5" borderId="3" xfId="0" applyFont="1" applyFill="1" applyBorder="1" applyAlignment="1">
      <alignment horizontal="center" vertical="center"/>
    </xf>
    <xf numFmtId="0" fontId="19" fillId="5" borderId="4" xfId="0" applyFont="1" applyFill="1" applyBorder="1" applyAlignment="1">
      <alignment horizontal="center" vertical="center"/>
    </xf>
    <xf numFmtId="0" fontId="15" fillId="9" borderId="16" xfId="3" applyFont="1" applyBorder="1" applyAlignment="1">
      <alignment horizontal="center" vertical="center"/>
    </xf>
    <xf numFmtId="0" fontId="15" fillId="9" borderId="0" xfId="3" applyFont="1" applyBorder="1" applyAlignment="1">
      <alignment horizontal="center" vertical="center"/>
    </xf>
    <xf numFmtId="0" fontId="13" fillId="17" borderId="5" xfId="0" applyFont="1" applyFill="1" applyBorder="1" applyAlignment="1">
      <alignment horizontal="left" vertical="top" wrapText="1"/>
    </xf>
    <xf numFmtId="0" fontId="14" fillId="17" borderId="6" xfId="0" applyFont="1" applyFill="1" applyBorder="1" applyAlignment="1">
      <alignment horizontal="left" vertical="top" wrapText="1"/>
    </xf>
    <xf numFmtId="0" fontId="14" fillId="17" borderId="7" xfId="0" applyFont="1" applyFill="1" applyBorder="1" applyAlignment="1">
      <alignment horizontal="left" vertical="top" wrapText="1"/>
    </xf>
    <xf numFmtId="0" fontId="14" fillId="17" borderId="8" xfId="0" applyFont="1" applyFill="1" applyBorder="1" applyAlignment="1">
      <alignment horizontal="left" vertical="top" wrapText="1"/>
    </xf>
    <xf numFmtId="0" fontId="14" fillId="17" borderId="0" xfId="0" applyFont="1" applyFill="1" applyAlignment="1">
      <alignment horizontal="left" vertical="top" wrapText="1"/>
    </xf>
    <xf numFmtId="0" fontId="14" fillId="17" borderId="9" xfId="0" applyFont="1" applyFill="1" applyBorder="1" applyAlignment="1">
      <alignment horizontal="left" vertical="top" wrapText="1"/>
    </xf>
    <xf numFmtId="0" fontId="14" fillId="17" borderId="10" xfId="0" applyFont="1" applyFill="1" applyBorder="1" applyAlignment="1">
      <alignment horizontal="left" vertical="top" wrapText="1"/>
    </xf>
    <xf numFmtId="0" fontId="14" fillId="17" borderId="11" xfId="0" applyFont="1" applyFill="1" applyBorder="1" applyAlignment="1">
      <alignment horizontal="left" vertical="top" wrapText="1"/>
    </xf>
    <xf numFmtId="0" fontId="14" fillId="17" borderId="12" xfId="0" applyFont="1" applyFill="1" applyBorder="1" applyAlignment="1">
      <alignment horizontal="left" vertical="top" wrapText="1"/>
    </xf>
    <xf numFmtId="0" fontId="13" fillId="17" borderId="3" xfId="0" applyFont="1" applyFill="1" applyBorder="1" applyAlignment="1">
      <alignment horizontal="center"/>
    </xf>
    <xf numFmtId="0" fontId="14" fillId="17" borderId="4" xfId="0" applyFont="1" applyFill="1" applyBorder="1" applyAlignment="1">
      <alignment horizontal="center"/>
    </xf>
    <xf numFmtId="0" fontId="0" fillId="17" borderId="3" xfId="0" applyFill="1" applyBorder="1" applyAlignment="1">
      <alignment horizontal="center"/>
    </xf>
    <xf numFmtId="0" fontId="0" fillId="17" borderId="4" xfId="0" applyFill="1" applyBorder="1" applyAlignment="1">
      <alignment horizontal="center"/>
    </xf>
    <xf numFmtId="0" fontId="27" fillId="8" borderId="28" xfId="0" applyFont="1" applyFill="1" applyBorder="1" applyAlignment="1">
      <alignment horizontal="center"/>
    </xf>
    <xf numFmtId="0" fontId="27" fillId="8" borderId="29" xfId="0" applyFont="1" applyFill="1" applyBorder="1" applyAlignment="1">
      <alignment horizontal="center"/>
    </xf>
  </cellXfs>
  <cellStyles count="6">
    <cellStyle name="Accent5" xfId="3" builtinId="45"/>
    <cellStyle name="Comma" xfId="2" builtinId="3"/>
    <cellStyle name="Comma 2" xfId="5" xr:uid="{14B5472C-0FEA-4B3C-8BC5-67B2D703BD8A}"/>
    <cellStyle name="Hyperlink" xfId="1" builtinId="8"/>
    <cellStyle name="Normal" xfId="0" builtinId="0"/>
    <cellStyle name="Percent" xfId="4" builtinId="5"/>
  </cellStyles>
  <dxfs count="93">
    <dxf>
      <font>
        <b val="0"/>
        <i val="0"/>
        <strike val="0"/>
        <condense val="0"/>
        <extend val="0"/>
        <outline val="0"/>
        <shadow val="0"/>
        <u val="none"/>
        <vertAlign val="baseline"/>
        <sz val="11"/>
        <color auto="1"/>
        <name val="Arial"/>
        <family val="2"/>
        <scheme val="none"/>
      </font>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auto="1"/>
        <name val="Arial"/>
        <family val="2"/>
        <scheme val="none"/>
      </font>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auto="1"/>
        <name val="Arial"/>
        <family val="2"/>
        <scheme val="none"/>
      </font>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auto="1"/>
        <name val="Arial"/>
        <family val="2"/>
        <scheme val="none"/>
      </font>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auto="1"/>
        <name val="Arial"/>
        <family val="2"/>
        <scheme val="none"/>
      </font>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auto="1"/>
        <name val="Arial"/>
        <family val="2"/>
        <scheme val="none"/>
      </font>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auto="1"/>
        <name val="Arial"/>
        <family val="2"/>
        <scheme val="none"/>
      </font>
      <numFmt numFmtId="35" formatCode="_(* #,##0.00_);_(* \(#,##0.00\);_(* &quot;-&quot;??_);_(@_)"/>
      <border diagonalUp="0" diagonalDown="0" outline="0">
        <left/>
        <right/>
        <top style="thin">
          <color rgb="FF000000"/>
        </top>
        <bottom/>
      </border>
    </dxf>
    <dxf>
      <font>
        <b val="0"/>
        <i val="0"/>
        <strike val="0"/>
        <condense val="0"/>
        <extend val="0"/>
        <outline val="0"/>
        <shadow val="0"/>
        <u val="none"/>
        <vertAlign val="baseline"/>
        <sz val="11"/>
        <color auto="1"/>
        <name val="Arial"/>
        <family val="2"/>
        <scheme val="none"/>
      </font>
      <numFmt numFmtId="2" formatCode="0.00"/>
      <border diagonalUp="0" diagonalDown="0" outline="0">
        <left/>
        <right/>
        <top style="thin">
          <color rgb="FF000000"/>
        </top>
        <bottom/>
      </border>
    </dxf>
    <dxf>
      <font>
        <b val="0"/>
        <i val="0"/>
        <strike val="0"/>
        <condense val="0"/>
        <extend val="0"/>
        <outline val="0"/>
        <shadow val="0"/>
        <u val="none"/>
        <vertAlign val="baseline"/>
        <sz val="11"/>
        <color auto="1"/>
        <name val="Arial"/>
        <family val="2"/>
        <scheme val="none"/>
      </font>
      <numFmt numFmtId="2" formatCode="0.00"/>
      <border diagonalUp="0" diagonalDown="0" outline="0">
        <left/>
        <right style="thin">
          <color rgb="FF000000"/>
        </right>
        <top style="thin">
          <color rgb="FF000000"/>
        </top>
        <bottom/>
      </border>
    </dxf>
    <dxf>
      <font>
        <b val="0"/>
        <i val="0"/>
        <strike val="0"/>
        <condense val="0"/>
        <extend val="0"/>
        <outline val="0"/>
        <shadow val="0"/>
        <u val="none"/>
        <vertAlign val="baseline"/>
        <sz val="11"/>
        <color auto="1"/>
        <name val="Arial"/>
        <family val="2"/>
        <scheme val="none"/>
      </font>
      <numFmt numFmtId="2" formatCode="0.0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1"/>
        <color auto="1"/>
        <name val="Arial"/>
        <family val="2"/>
        <scheme val="none"/>
      </font>
      <numFmt numFmtId="35" formatCode="_(* #,##0.00_);_(* \(#,##0.00\);_(* &quot;-&quot;??_);_(@_)"/>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1"/>
        <color auto="1"/>
        <name val="Arial"/>
        <family val="2"/>
        <scheme val="none"/>
      </font>
      <numFmt numFmtId="35" formatCode="_(* #,##0.00_);_(* \(#,##0.00\);_(* &quot;-&quot;??_);_(@_)"/>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auto="1"/>
        <name val="Arial"/>
        <family val="2"/>
        <scheme val="none"/>
      </font>
      <numFmt numFmtId="35" formatCode="_(* #,##0.00_);_(* \(#,##0.00\);_(* &quot;-&quot;??_);_(@_)"/>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auto="1"/>
        <name val="Arial"/>
        <family val="2"/>
        <scheme val="none"/>
      </font>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auto="1"/>
        <name val="Arial"/>
        <family val="2"/>
        <scheme val="none"/>
      </font>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auto="1"/>
        <name val="Arial"/>
        <family val="2"/>
        <scheme val="none"/>
      </font>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auto="1"/>
        <name val="Arial"/>
        <family val="2"/>
        <scheme val="none"/>
      </font>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auto="1"/>
        <name val="Arial"/>
        <family val="2"/>
        <scheme val="none"/>
      </font>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auto="1"/>
        <name val="Arial"/>
        <family val="2"/>
        <scheme val="none"/>
      </font>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auto="1"/>
        <name val="Arial"/>
        <family val="2"/>
        <scheme val="none"/>
      </font>
      <numFmt numFmtId="164" formatCode="yyyy\-mm\-dd"/>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auto="1"/>
        <name val="Arial"/>
        <family val="2"/>
        <scheme val="none"/>
      </font>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auto="1"/>
        <name val="Arial"/>
        <family val="2"/>
        <scheme val="none"/>
      </font>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auto="1"/>
        <name val="Arial"/>
        <family val="2"/>
        <scheme val="none"/>
      </font>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auto="1"/>
        <name val="Arial"/>
        <family val="2"/>
        <scheme val="none"/>
      </font>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auto="1"/>
        <name val="Arial"/>
        <family val="2"/>
        <scheme val="none"/>
      </font>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auto="1"/>
        <name val="Arial"/>
        <family val="2"/>
        <scheme val="none"/>
      </font>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auto="1"/>
        <name val="Arial"/>
        <family val="2"/>
        <scheme val="none"/>
      </font>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auto="1"/>
        <name val="Arial"/>
        <family val="2"/>
        <scheme val="none"/>
      </font>
      <numFmt numFmtId="164" formatCode="yyyy\-mm\-dd"/>
      <alignment horizontal="left" vertical="bottom" textRotation="0" wrapText="0" indent="0" justifyLastLine="0" shrinkToFit="0" readingOrder="0"/>
      <border diagonalUp="0" diagonalDown="0">
        <left/>
        <right/>
        <top style="thin">
          <color rgb="FF000000"/>
        </top>
        <bottom/>
        <vertical/>
        <horizontal/>
      </border>
    </dxf>
    <dxf>
      <border outline="0">
        <left style="thin">
          <color rgb="FF000000"/>
        </left>
        <right style="thin">
          <color rgb="FF000000"/>
        </right>
        <top style="thin">
          <color rgb="FF000000"/>
        </top>
      </border>
    </dxf>
    <dxf>
      <font>
        <b val="0"/>
        <i val="0"/>
        <strike val="0"/>
        <condense val="0"/>
        <extend val="0"/>
        <outline val="0"/>
        <shadow val="0"/>
        <u val="none"/>
        <vertAlign val="baseline"/>
        <sz val="11"/>
        <color auto="1"/>
        <name val="Arial"/>
        <family val="2"/>
        <scheme val="none"/>
      </font>
    </dxf>
    <dxf>
      <font>
        <b/>
        <i val="0"/>
        <strike val="0"/>
        <condense val="0"/>
        <extend val="0"/>
        <outline val="0"/>
        <shadow val="0"/>
        <u val="none"/>
        <vertAlign val="baseline"/>
        <sz val="11"/>
        <color rgb="FFE8C471"/>
        <name val="Aptos Narrow"/>
        <family val="2"/>
        <scheme val="none"/>
      </font>
      <fill>
        <patternFill patternType="solid">
          <fgColor rgb="FFEFEFEF"/>
          <bgColor theme="1" tint="4.9989318521683403E-2"/>
        </patternFill>
      </fill>
    </dxf>
    <dxf>
      <numFmt numFmtId="14" formatCode="0.00%"/>
    </dxf>
    <dxf>
      <numFmt numFmtId="2" formatCode="0.00"/>
    </dxf>
    <dxf>
      <fill>
        <patternFill>
          <bgColor theme="0" tint="-4.9989318521683403E-2"/>
        </patternFill>
      </fill>
    </dxf>
    <dxf>
      <fill>
        <patternFill>
          <bgColor theme="0" tint="-4.9989318521683403E-2"/>
        </patternFill>
      </fill>
    </dxf>
    <dxf>
      <fill>
        <patternFill>
          <bgColor rgb="FFFF0000"/>
        </patternFill>
      </fill>
    </dxf>
    <dxf>
      <fill>
        <patternFill>
          <bgColor rgb="FFFF0000"/>
        </patternFill>
      </fill>
    </dxf>
    <dxf>
      <fill>
        <patternFill>
          <bgColor rgb="FF00B050"/>
        </patternFill>
      </fill>
    </dxf>
    <dxf>
      <fill>
        <gradientFill degree="90">
          <stop position="0">
            <color theme="5"/>
          </stop>
          <stop position="1">
            <color theme="4" tint="0.40000610370189521"/>
          </stop>
        </gradientFill>
      </fill>
    </dxf>
    <dxf>
      <font>
        <b val="0"/>
        <i val="0"/>
        <strike val="0"/>
        <condense val="0"/>
        <extend val="0"/>
        <outline val="0"/>
        <shadow val="0"/>
        <u val="none"/>
        <vertAlign val="baseline"/>
        <sz val="11"/>
        <color rgb="FF000000"/>
        <name val="Aptos Narrow"/>
        <family val="2"/>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0000"/>
        <name val="Aptos Narrow"/>
        <family val="2"/>
        <scheme val="none"/>
      </font>
      <numFmt numFmtId="0" formatCode="Genera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0000"/>
        <name val="Aptos Narrow"/>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general" vertical="center" textRotation="0" wrapText="0" indent="0" justifyLastLine="0" shrinkToFit="0" readingOrder="0"/>
    </dxf>
    <dxf>
      <fill>
        <patternFill>
          <bgColor theme="7" tint="0.59996337778862885"/>
        </patternFill>
      </fill>
    </dxf>
    <dxf>
      <fill>
        <patternFill>
          <bgColor rgb="FFFF0000"/>
        </patternFill>
      </fill>
    </dxf>
    <dxf>
      <fill>
        <patternFill>
          <bgColor rgb="FFFF0000"/>
        </patternFill>
      </fill>
    </dxf>
    <dxf>
      <fill>
        <patternFill>
          <bgColor theme="5" tint="0.39994506668294322"/>
        </patternFill>
      </fill>
    </dxf>
    <dxf>
      <font>
        <b val="0"/>
        <i val="0"/>
        <strike val="0"/>
        <condense val="0"/>
        <extend val="0"/>
        <outline val="0"/>
        <shadow val="0"/>
        <u val="none"/>
        <vertAlign val="baseline"/>
        <sz val="11"/>
        <color auto="1"/>
        <name val="Aptos Narrow"/>
        <family val="2"/>
        <scheme val="none"/>
      </font>
    </dxf>
    <dxf>
      <font>
        <b val="0"/>
        <i val="0"/>
        <strike val="0"/>
        <condense val="0"/>
        <extend val="0"/>
        <outline val="0"/>
        <shadow val="0"/>
        <u val="none"/>
        <vertAlign val="baseline"/>
        <sz val="11"/>
        <color auto="1"/>
        <name val="Aptos Narrow"/>
        <family val="2"/>
        <scheme val="none"/>
      </font>
    </dxf>
    <dxf>
      <font>
        <b val="0"/>
        <i val="0"/>
        <strike val="0"/>
        <condense val="0"/>
        <extend val="0"/>
        <outline val="0"/>
        <shadow val="0"/>
        <u val="none"/>
        <vertAlign val="baseline"/>
        <sz val="11"/>
        <color auto="1"/>
        <name val="Aptos Narrow"/>
        <family val="2"/>
        <scheme val="none"/>
      </font>
    </dxf>
    <dxf>
      <font>
        <b val="0"/>
        <i val="0"/>
        <strike val="0"/>
        <condense val="0"/>
        <extend val="0"/>
        <outline val="0"/>
        <shadow val="0"/>
        <u val="none"/>
        <vertAlign val="baseline"/>
        <sz val="11"/>
        <color auto="1"/>
        <name val="Aptos Narrow"/>
        <family val="2"/>
        <scheme val="none"/>
      </font>
    </dxf>
    <dxf>
      <font>
        <b val="0"/>
        <i val="0"/>
        <strike val="0"/>
        <condense val="0"/>
        <extend val="0"/>
        <outline val="0"/>
        <shadow val="0"/>
        <u val="none"/>
        <vertAlign val="baseline"/>
        <sz val="11"/>
        <color auto="1"/>
        <name val="Aptos Narrow"/>
        <family val="2"/>
        <scheme val="none"/>
      </font>
    </dxf>
    <dxf>
      <font>
        <b val="0"/>
        <i val="0"/>
        <strike val="0"/>
        <condense val="0"/>
        <extend val="0"/>
        <outline val="0"/>
        <shadow val="0"/>
        <u val="none"/>
        <vertAlign val="baseline"/>
        <sz val="11"/>
        <color auto="1"/>
        <name val="Aptos Narrow"/>
        <family val="2"/>
        <scheme val="none"/>
      </font>
    </dxf>
    <dxf>
      <font>
        <b val="0"/>
        <i val="0"/>
        <strike val="0"/>
        <condense val="0"/>
        <extend val="0"/>
        <outline val="0"/>
        <shadow val="0"/>
        <u val="none"/>
        <vertAlign val="baseline"/>
        <sz val="11"/>
        <color auto="1"/>
        <name val="Aptos Narrow"/>
        <family val="2"/>
        <scheme val="none"/>
      </font>
    </dxf>
    <dxf>
      <font>
        <b val="0"/>
        <i val="0"/>
        <strike val="0"/>
        <condense val="0"/>
        <extend val="0"/>
        <outline val="0"/>
        <shadow val="0"/>
        <u val="none"/>
        <vertAlign val="baseline"/>
        <sz val="11"/>
        <color auto="1"/>
        <name val="Aptos Narrow"/>
        <family val="2"/>
        <scheme val="none"/>
      </font>
    </dxf>
    <dxf>
      <font>
        <b val="0"/>
        <i val="0"/>
        <strike val="0"/>
        <condense val="0"/>
        <extend val="0"/>
        <outline val="0"/>
        <shadow val="0"/>
        <u val="none"/>
        <vertAlign val="baseline"/>
        <sz val="11"/>
        <color auto="1"/>
        <name val="Aptos Narrow"/>
        <family val="2"/>
        <scheme val="none"/>
      </font>
    </dxf>
    <dxf>
      <font>
        <b val="0"/>
        <i val="0"/>
        <strike val="0"/>
        <condense val="0"/>
        <extend val="0"/>
        <outline val="0"/>
        <shadow val="0"/>
        <u val="none"/>
        <vertAlign val="baseline"/>
        <sz val="11"/>
        <color auto="1"/>
        <name val="Aptos Narrow"/>
        <family val="2"/>
        <scheme val="none"/>
      </font>
    </dxf>
    <dxf>
      <font>
        <b val="0"/>
        <i val="0"/>
        <strike val="0"/>
        <condense val="0"/>
        <extend val="0"/>
        <outline val="0"/>
        <shadow val="0"/>
        <u val="none"/>
        <vertAlign val="baseline"/>
        <sz val="11"/>
        <color auto="1"/>
        <name val="Aptos Narrow"/>
        <family val="2"/>
        <scheme val="none"/>
      </font>
    </dxf>
    <dxf>
      <font>
        <b val="0"/>
        <i val="0"/>
        <strike val="0"/>
        <condense val="0"/>
        <extend val="0"/>
        <outline val="0"/>
        <shadow val="0"/>
        <u val="none"/>
        <vertAlign val="baseline"/>
        <sz val="11"/>
        <color auto="1"/>
        <name val="Aptos Narrow"/>
        <family val="2"/>
        <scheme val="none"/>
      </font>
    </dxf>
    <dxf>
      <font>
        <b val="0"/>
        <i val="0"/>
        <strike val="0"/>
        <condense val="0"/>
        <extend val="0"/>
        <outline val="0"/>
        <shadow val="0"/>
        <u val="none"/>
        <vertAlign val="baseline"/>
        <sz val="11"/>
        <color auto="1"/>
        <name val="Aptos Narrow"/>
        <family val="2"/>
        <scheme val="none"/>
      </font>
    </dxf>
    <dxf>
      <font>
        <b val="0"/>
        <i val="0"/>
        <strike val="0"/>
        <condense val="0"/>
        <extend val="0"/>
        <outline val="0"/>
        <shadow val="0"/>
        <u val="none"/>
        <vertAlign val="baseline"/>
        <sz val="11"/>
        <color auto="1"/>
        <name val="Aptos Narrow"/>
        <family val="2"/>
        <scheme val="none"/>
      </font>
    </dxf>
    <dxf>
      <font>
        <b val="0"/>
        <i val="0"/>
        <strike val="0"/>
        <condense val="0"/>
        <extend val="0"/>
        <outline val="0"/>
        <shadow val="0"/>
        <u val="none"/>
        <vertAlign val="baseline"/>
        <sz val="11"/>
        <color auto="1"/>
        <name val="Aptos Narrow"/>
        <family val="2"/>
        <scheme val="none"/>
      </font>
    </dxf>
    <dxf>
      <font>
        <b val="0"/>
        <i val="0"/>
        <strike val="0"/>
        <condense val="0"/>
        <extend val="0"/>
        <outline val="0"/>
        <shadow val="0"/>
        <u val="none"/>
        <vertAlign val="baseline"/>
        <sz val="11"/>
        <color auto="1"/>
        <name val="Aptos Narrow"/>
        <family val="2"/>
        <scheme val="none"/>
      </font>
    </dxf>
    <dxf>
      <font>
        <b val="0"/>
        <i val="0"/>
        <strike val="0"/>
        <condense val="0"/>
        <extend val="0"/>
        <outline val="0"/>
        <shadow val="0"/>
        <u val="none"/>
        <vertAlign val="baseline"/>
        <sz val="11"/>
        <color auto="1"/>
        <name val="Aptos Narrow"/>
        <family val="2"/>
        <scheme val="none"/>
      </font>
    </dxf>
    <dxf>
      <font>
        <b val="0"/>
        <i val="0"/>
        <strike val="0"/>
        <condense val="0"/>
        <extend val="0"/>
        <outline val="0"/>
        <shadow val="0"/>
        <u val="none"/>
        <vertAlign val="baseline"/>
        <sz val="11"/>
        <color auto="1"/>
        <name val="Aptos Narrow"/>
        <family val="2"/>
        <scheme val="none"/>
      </font>
    </dxf>
    <dxf>
      <font>
        <b val="0"/>
        <i val="0"/>
        <strike val="0"/>
        <condense val="0"/>
        <extend val="0"/>
        <outline val="0"/>
        <shadow val="0"/>
        <u val="none"/>
        <vertAlign val="baseline"/>
        <sz val="11"/>
        <color auto="1"/>
        <name val="Aptos Narrow"/>
        <family val="2"/>
        <scheme val="none"/>
      </font>
    </dxf>
    <dxf>
      <font>
        <b val="0"/>
        <i val="0"/>
        <strike val="0"/>
        <condense val="0"/>
        <extend val="0"/>
        <outline val="0"/>
        <shadow val="0"/>
        <u val="none"/>
        <vertAlign val="baseline"/>
        <sz val="11"/>
        <color auto="1"/>
        <name val="Aptos Narrow"/>
        <family val="2"/>
        <scheme val="none"/>
      </font>
    </dxf>
    <dxf>
      <font>
        <b val="0"/>
        <i val="0"/>
        <strike val="0"/>
        <condense val="0"/>
        <extend val="0"/>
        <outline val="0"/>
        <shadow val="0"/>
        <u val="none"/>
        <vertAlign val="baseline"/>
        <sz val="11"/>
        <color auto="1"/>
        <name val="Aptos Narrow"/>
        <family val="2"/>
        <scheme val="none"/>
      </font>
    </dxf>
    <dxf>
      <font>
        <b val="0"/>
        <i val="0"/>
        <strike val="0"/>
        <condense val="0"/>
        <extend val="0"/>
        <outline val="0"/>
        <shadow val="0"/>
        <u val="none"/>
        <vertAlign val="baseline"/>
        <sz val="11"/>
        <color auto="1"/>
        <name val="Aptos Narrow"/>
        <family val="2"/>
        <scheme val="none"/>
      </font>
    </dxf>
    <dxf>
      <font>
        <b val="0"/>
        <i val="0"/>
        <strike val="0"/>
        <condense val="0"/>
        <extend val="0"/>
        <outline val="0"/>
        <shadow val="0"/>
        <u val="none"/>
        <vertAlign val="baseline"/>
        <sz val="11"/>
        <color auto="1"/>
        <name val="Aptos Narrow"/>
        <family val="2"/>
        <scheme val="none"/>
      </font>
    </dxf>
    <dxf>
      <font>
        <b val="0"/>
        <i val="0"/>
        <strike val="0"/>
        <condense val="0"/>
        <extend val="0"/>
        <outline val="0"/>
        <shadow val="0"/>
        <u val="none"/>
        <vertAlign val="baseline"/>
        <sz val="11"/>
        <color auto="1"/>
        <name val="Aptos Narrow"/>
        <family val="2"/>
        <scheme val="none"/>
      </font>
    </dxf>
    <dxf>
      <font>
        <b val="0"/>
        <i val="0"/>
        <strike val="0"/>
        <condense val="0"/>
        <extend val="0"/>
        <outline val="0"/>
        <shadow val="0"/>
        <u val="none"/>
        <vertAlign val="baseline"/>
        <sz val="11"/>
        <color auto="1"/>
        <name val="Aptos Narrow"/>
        <family val="2"/>
        <scheme val="none"/>
      </font>
    </dxf>
    <dxf>
      <font>
        <b val="0"/>
        <i val="0"/>
        <strike val="0"/>
        <condense val="0"/>
        <extend val="0"/>
        <outline val="0"/>
        <shadow val="0"/>
        <u val="none"/>
        <vertAlign val="baseline"/>
        <sz val="11"/>
        <color auto="1"/>
        <name val="Aptos Narrow"/>
        <family val="2"/>
        <scheme val="none"/>
      </font>
    </dxf>
    <dxf>
      <font>
        <b val="0"/>
        <i val="0"/>
        <strike val="0"/>
        <condense val="0"/>
        <extend val="0"/>
        <outline val="0"/>
        <shadow val="0"/>
        <u val="none"/>
        <vertAlign val="baseline"/>
        <sz val="11"/>
        <color auto="1"/>
        <name val="Aptos Narrow"/>
        <family val="2"/>
        <scheme val="none"/>
      </font>
    </dxf>
    <dxf>
      <font>
        <b val="0"/>
        <i val="0"/>
        <strike val="0"/>
        <condense val="0"/>
        <extend val="0"/>
        <outline val="0"/>
        <shadow val="0"/>
        <u val="none"/>
        <vertAlign val="baseline"/>
        <sz val="11"/>
        <color auto="1"/>
        <name val="Aptos Narrow"/>
        <family val="2"/>
        <scheme val="none"/>
      </font>
    </dxf>
    <dxf>
      <font>
        <b val="0"/>
        <i val="0"/>
        <strike val="0"/>
        <condense val="0"/>
        <extend val="0"/>
        <outline val="0"/>
        <shadow val="0"/>
        <u val="none"/>
        <vertAlign val="baseline"/>
        <sz val="11"/>
        <color auto="1"/>
        <name val="Aptos Narrow"/>
        <family val="2"/>
        <scheme val="none"/>
      </font>
    </dxf>
    <dxf>
      <font>
        <b val="0"/>
        <i val="0"/>
        <strike val="0"/>
        <condense val="0"/>
        <extend val="0"/>
        <outline val="0"/>
        <shadow val="0"/>
        <u val="none"/>
        <vertAlign val="baseline"/>
        <sz val="11"/>
        <color auto="1"/>
        <name val="Aptos Narrow"/>
        <family val="2"/>
        <scheme val="none"/>
      </font>
    </dxf>
    <dxf>
      <font>
        <b val="0"/>
        <i val="0"/>
        <strike val="0"/>
        <condense val="0"/>
        <extend val="0"/>
        <outline val="0"/>
        <shadow val="0"/>
        <u val="none"/>
        <vertAlign val="baseline"/>
        <sz val="11"/>
        <color auto="1"/>
        <name val="Aptos Narrow"/>
        <family val="2"/>
        <scheme val="none"/>
      </font>
    </dxf>
    <dxf>
      <font>
        <b val="0"/>
        <i val="0"/>
        <strike val="0"/>
        <condense val="0"/>
        <extend val="0"/>
        <outline val="0"/>
        <shadow val="0"/>
        <u val="none"/>
        <vertAlign val="baseline"/>
        <sz val="11"/>
        <color auto="1"/>
        <name val="Aptos Narrow"/>
        <family val="2"/>
        <scheme val="none"/>
      </font>
    </dxf>
    <dxf>
      <font>
        <b val="0"/>
        <i val="0"/>
        <strike val="0"/>
        <condense val="0"/>
        <extend val="0"/>
        <outline val="0"/>
        <shadow val="0"/>
        <u val="none"/>
        <vertAlign val="baseline"/>
        <sz val="11"/>
        <color auto="1"/>
        <name val="Aptos Narrow"/>
        <family val="2"/>
        <scheme val="none"/>
      </font>
    </dxf>
    <dxf>
      <border outline="0">
        <top style="thin">
          <color rgb="FF000000"/>
        </top>
      </border>
    </dxf>
    <dxf>
      <font>
        <b val="0"/>
        <i val="0"/>
        <strike val="0"/>
        <condense val="0"/>
        <extend val="0"/>
        <outline val="0"/>
        <shadow val="0"/>
        <u val="none"/>
        <vertAlign val="baseline"/>
        <sz val="11"/>
        <color auto="1"/>
        <name val="Aptos Narrow"/>
        <family val="2"/>
        <scheme val="none"/>
      </font>
    </dxf>
    <dxf>
      <border outline="0">
        <bottom style="thin">
          <color rgb="FF000000"/>
        </bottom>
      </border>
    </dxf>
    <dxf>
      <font>
        <b/>
        <i val="0"/>
        <strike val="0"/>
        <condense val="0"/>
        <extend val="0"/>
        <outline val="0"/>
        <shadow val="0"/>
        <u val="none"/>
        <vertAlign val="baseline"/>
        <sz val="11"/>
        <color rgb="FFE8C471"/>
        <name val="Aptos Narrow"/>
        <family val="2"/>
        <scheme val="none"/>
      </font>
      <fill>
        <patternFill patternType="solid">
          <fgColor rgb="FFEFEFEF"/>
          <bgColor theme="1" tint="4.9989318521683403E-2"/>
        </patternFill>
      </fill>
      <border diagonalUp="0" diagonalDown="0" outline="0">
        <left style="thin">
          <color rgb="FF000000"/>
        </left>
        <right style="thin">
          <color rgb="FF000000"/>
        </right>
        <top/>
        <bottom/>
      </border>
    </dxf>
    <dxf>
      <fill>
        <patternFill>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ont>
        <b val="0"/>
        <i val="0"/>
        <strike val="0"/>
        <condense val="0"/>
        <extend val="0"/>
        <outline val="0"/>
        <shadow val="0"/>
        <u val="none"/>
        <vertAlign val="baseline"/>
        <sz val="11"/>
        <color theme="1"/>
        <name val="Arial"/>
        <family val="2"/>
        <scheme val="none"/>
      </font>
      <alignment horizontal="left" vertical="top" textRotation="0" wrapText="0" indent="0" justifyLastLine="0" shrinkToFit="0" readingOrder="0"/>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theme="1"/>
        <name val="Arial"/>
        <family val="2"/>
        <scheme val="none"/>
      </font>
      <alignment horizontal="left" vertical="top" textRotation="0" wrapText="0" indent="0" justifyLastLine="0" shrinkToFit="0" readingOrder="0"/>
      <border diagonalUp="0" diagonalDown="0">
        <left/>
        <right/>
        <top style="thin">
          <color rgb="FF000000"/>
        </top>
        <bottom/>
        <vertical/>
        <horizontal/>
      </border>
    </dxf>
    <dxf>
      <border outline="0">
        <left style="thin">
          <color rgb="FF000000"/>
        </left>
        <right style="thin">
          <color rgb="FF000000"/>
        </right>
        <top style="thin">
          <color rgb="FF000000"/>
        </top>
        <bottom style="thin">
          <color rgb="FF000000"/>
        </bottom>
      </border>
    </dxf>
    <dxf>
      <font>
        <b/>
        <i val="0"/>
        <strike val="0"/>
        <condense val="0"/>
        <extend val="0"/>
        <outline val="0"/>
        <shadow val="0"/>
        <u val="none"/>
        <vertAlign val="baseline"/>
        <sz val="11"/>
        <color rgb="FFE8C471"/>
        <name val="Arial"/>
        <family val="2"/>
        <scheme val="none"/>
      </font>
      <fill>
        <patternFill patternType="solid">
          <fgColor rgb="FFD9EAD3"/>
          <bgColor theme="1" tint="4.9989318521683403E-2"/>
        </patternFill>
      </fill>
    </dxf>
  </dxfs>
  <tableStyles count="0" defaultTableStyle="TableStyleMedium2" defaultPivotStyle="PivotStyleLight16"/>
  <colors>
    <mruColors>
      <color rgb="FF251189"/>
      <color rgb="FFFF0000"/>
      <color rgb="FFEBA64B"/>
      <color rgb="FF0AA606"/>
      <color rgb="FF42F83E"/>
      <color rgb="FFB2B2B2"/>
      <color rgb="FFC0C0C0"/>
      <color rgb="FFE8C47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[Post Trade Compliance_Cash Catalystss.xlsm]Pivottable!PivotTable9</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t>Exposure</a:t>
            </a:r>
            <a:r>
              <a:rPr lang="en-US"/>
              <a:t> </a:t>
            </a:r>
            <a:r>
              <a:rPr lang="en-US" sz="1200" b="1"/>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s>
    <c:plotArea>
      <c:layout/>
      <c:pieChart>
        <c:varyColors val="1"/>
        <c:ser>
          <c:idx val="0"/>
          <c:order val="0"/>
          <c:tx>
            <c:strRef>
              <c:f>Pivottable!$J$3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DED-4057-8C1D-9B58543256D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DED-4057-8C1D-9B58543256D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DED-4057-8C1D-9B58543256D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DED-4057-8C1D-9B58543256D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DED-4057-8C1D-9B58543256D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DED-4057-8C1D-9B58543256D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DED-4057-8C1D-9B58543256D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Pivottable!$I$4:$I$11</c:f>
              <c:strCache>
                <c:ptCount val="7"/>
                <c:pt idx="0">
                  <c:v>Cash</c:v>
                </c:pt>
                <c:pt idx="1">
                  <c:v>Equity</c:v>
                </c:pt>
                <c:pt idx="2">
                  <c:v>Fixed Income</c:v>
                </c:pt>
                <c:pt idx="3">
                  <c:v>Futures</c:v>
                </c:pt>
                <c:pt idx="4">
                  <c:v>FX</c:v>
                </c:pt>
                <c:pt idx="5">
                  <c:v>Option</c:v>
                </c:pt>
                <c:pt idx="6">
                  <c:v>OTC</c:v>
                </c:pt>
              </c:strCache>
            </c:strRef>
          </c:cat>
          <c:val>
            <c:numRef>
              <c:f>Pivottable!$J$4:$J$11</c:f>
              <c:numCache>
                <c:formatCode>_(* #,##0.00_);_(* \(#,##0.00\);_(* "-"??_);_(@_)</c:formatCode>
                <c:ptCount val="7"/>
                <c:pt idx="0">
                  <c:v>3.5412516759660342</c:v>
                </c:pt>
                <c:pt idx="1">
                  <c:v>74.230634726164297</c:v>
                </c:pt>
                <c:pt idx="2">
                  <c:v>18.824281127458061</c:v>
                </c:pt>
                <c:pt idx="3">
                  <c:v>1.6222985725283456E-5</c:v>
                </c:pt>
                <c:pt idx="4">
                  <c:v>0.29438856104350064</c:v>
                </c:pt>
                <c:pt idx="5">
                  <c:v>4.0791705619319432</c:v>
                </c:pt>
                <c:pt idx="6">
                  <c:v>0.96971042619561632</c:v>
                </c:pt>
              </c:numCache>
            </c:numRef>
          </c:val>
          <c:extLst>
            <c:ext xmlns:c16="http://schemas.microsoft.com/office/drawing/2014/chart" uri="{C3380CC4-5D6E-409C-BE32-E72D297353CC}">
              <c16:uniqueId val="{0000000E-4DED-4057-8C1D-9B58543256D4}"/>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[Post Trade Compliance_Cash Catalystss.xlsm]Pivottable!PivotTable12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t>Exposure</a:t>
            </a:r>
            <a:r>
              <a:rPr lang="en-US" sz="1200" b="1" baseline="0"/>
              <a:t> by Region (%) </a:t>
            </a:r>
            <a:endParaRPr lang="en-US" sz="12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pieChart>
        <c:varyColors val="1"/>
        <c:ser>
          <c:idx val="0"/>
          <c:order val="0"/>
          <c:tx>
            <c:strRef>
              <c:f>Pivottable!$J$43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CA6-4FC6-8845-1B83FCDAF8D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CA6-4FC6-8845-1B83FCDAF8D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CA6-4FC6-8845-1B83FCDAF8D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Pivottable!$I$44:$I$47</c:f>
              <c:strCache>
                <c:ptCount val="3"/>
                <c:pt idx="0">
                  <c:v>Asia</c:v>
                </c:pt>
                <c:pt idx="1">
                  <c:v>Europe</c:v>
                </c:pt>
                <c:pt idx="2">
                  <c:v>North America</c:v>
                </c:pt>
              </c:strCache>
            </c:strRef>
          </c:cat>
          <c:val>
            <c:numRef>
              <c:f>Pivottable!$J$44:$J$47</c:f>
              <c:numCache>
                <c:formatCode>_(* #,##0.00_);_(* \(#,##0.00\);_(* "-"??_);_(@_)</c:formatCode>
                <c:ptCount val="3"/>
                <c:pt idx="0">
                  <c:v>46.415517302272001</c:v>
                </c:pt>
                <c:pt idx="1">
                  <c:v>30.326549894190801</c:v>
                </c:pt>
                <c:pt idx="2">
                  <c:v>23.257932806919694</c:v>
                </c:pt>
              </c:numCache>
            </c:numRef>
          </c:val>
          <c:extLst>
            <c:ext xmlns:c16="http://schemas.microsoft.com/office/drawing/2014/chart" uri="{C3380CC4-5D6E-409C-BE32-E72D297353CC}">
              <c16:uniqueId val="{00000006-1CA6-4FC6-8845-1B83FCDAF8DD}"/>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8792109785073274"/>
          <c:y val="0.42697348511302002"/>
          <c:w val="0.29851887689174628"/>
          <c:h val="0.33681355774379029"/>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[Post Trade Compliance_Cash Catalystss.xlsm]Pivottable!PivotTable13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t>Exposure by</a:t>
            </a:r>
            <a:r>
              <a:rPr lang="en-US" sz="1200" b="1" baseline="0"/>
              <a:t> Region Classification</a:t>
            </a:r>
            <a:endParaRPr lang="en-US" sz="12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Pivottable!$J$50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E56-4680-9DC2-B4602C9AECA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E56-4680-9DC2-B4602C9AECA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Pivottable!$I$51:$I$53</c:f>
              <c:strCache>
                <c:ptCount val="2"/>
                <c:pt idx="0">
                  <c:v>Developed</c:v>
                </c:pt>
                <c:pt idx="1">
                  <c:v>Emerging</c:v>
                </c:pt>
              </c:strCache>
            </c:strRef>
          </c:cat>
          <c:val>
            <c:numRef>
              <c:f>Pivottable!$J$51:$J$53</c:f>
              <c:numCache>
                <c:formatCode>_(* #,##0.00_);_(* \(#,##0.00\);_(* "-"??_);_(@_)</c:formatCode>
                <c:ptCount val="2"/>
                <c:pt idx="0">
                  <c:v>53.548959884311429</c:v>
                </c:pt>
                <c:pt idx="1">
                  <c:v>46.451040119071052</c:v>
                </c:pt>
              </c:numCache>
            </c:numRef>
          </c:val>
          <c:extLst>
            <c:ext xmlns:c16="http://schemas.microsoft.com/office/drawing/2014/chart" uri="{C3380CC4-5D6E-409C-BE32-E72D297353CC}">
              <c16:uniqueId val="{00000004-8E56-4680-9DC2-B4602C9AECA8}"/>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67957088200761939"/>
          <c:y val="0.52851091356284441"/>
          <c:w val="0.21371174777727683"/>
          <c:h val="0.1955669911489472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8" Type="http://schemas.openxmlformats.org/officeDocument/2006/relationships/hyperlink" Target="#'Summary '!A1"/><Relationship Id="rId3" Type="http://schemas.openxmlformats.org/officeDocument/2006/relationships/image" Target="../media/image3.png"/><Relationship Id="rId7" Type="http://schemas.openxmlformats.org/officeDocument/2006/relationships/hyperlink" Target="#Funds_data!A1"/><Relationship Id="rId2" Type="http://schemas.openxmlformats.org/officeDocument/2006/relationships/image" Target="../media/image2.png"/><Relationship Id="rId1" Type="http://schemas.openxmlformats.org/officeDocument/2006/relationships/image" Target="../media/image1.jpg"/><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Configuration Screen'!A1"/><Relationship Id="rId9" Type="http://schemas.openxmlformats.org/officeDocument/2006/relationships/hyperlink" Target="#'List of Compliance Rules'!A1"/></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hyperlink" Target="#Funds_data!A1"/><Relationship Id="rId2" Type="http://schemas.openxmlformats.org/officeDocument/2006/relationships/hyperlink" Target="#'List of Compliance Rules'!A1"/><Relationship Id="rId1" Type="http://schemas.openxmlformats.org/officeDocument/2006/relationships/hyperlink" Target="#'New Rule'!A1"/><Relationship Id="rId5" Type="http://schemas.openxmlformats.org/officeDocument/2006/relationships/hyperlink" Target="#'Summary '!A1"/><Relationship Id="rId4" Type="http://schemas.openxmlformats.org/officeDocument/2006/relationships/hyperlink" Target="#'Data Dictionary'!A1"/></Relationships>
</file>

<file path=xl/drawings/_rels/drawing6.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3.xml"/><Relationship Id="rId7" Type="http://schemas.openxmlformats.org/officeDocument/2006/relationships/hyperlink" Target="#'Configuration Screen'!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Data Dictionary'!A1"/><Relationship Id="rId5" Type="http://schemas.openxmlformats.org/officeDocument/2006/relationships/hyperlink" Target="#'List of Compliance Rules'!A1"/><Relationship Id="rId4" Type="http://schemas.openxmlformats.org/officeDocument/2006/relationships/hyperlink" Target="#'New Rule'!A1"/><Relationship Id="rId9" Type="http://schemas.microsoft.com/office/2007/relationships/hdphoto" Target="../media/hdphoto1.wdp"/></Relationships>
</file>

<file path=xl/drawings/_rels/drawing8.xml.rels><?xml version="1.0" encoding="UTF-8" standalone="yes"?>
<Relationships xmlns="http://schemas.openxmlformats.org/package/2006/relationships"><Relationship Id="rId8" Type="http://schemas.openxmlformats.org/officeDocument/2006/relationships/hyperlink" Target="#Funds_data!A1"/><Relationship Id="rId3" Type="http://schemas.openxmlformats.org/officeDocument/2006/relationships/image" Target="../media/image6.png"/><Relationship Id="rId7" Type="http://schemas.microsoft.com/office/2007/relationships/hdphoto" Target="../media/hdphoto2.wdp"/><Relationship Id="rId2" Type="http://schemas.openxmlformats.org/officeDocument/2006/relationships/hyperlink" Target="#'List of Compliance Rules'!A1"/><Relationship Id="rId1" Type="http://schemas.openxmlformats.org/officeDocument/2006/relationships/image" Target="../media/image5.png"/><Relationship Id="rId6" Type="http://schemas.openxmlformats.org/officeDocument/2006/relationships/image" Target="../media/image8.png"/><Relationship Id="rId5" Type="http://schemas.openxmlformats.org/officeDocument/2006/relationships/hyperlink" Target="#'Configuration Screen'!A1"/><Relationship Id="rId10" Type="http://schemas.openxmlformats.org/officeDocument/2006/relationships/hyperlink" Target="#'Data Dictionary'!A1"/><Relationship Id="rId4" Type="http://schemas.openxmlformats.org/officeDocument/2006/relationships/image" Target="../media/image7.svg"/><Relationship Id="rId9" Type="http://schemas.openxmlformats.org/officeDocument/2006/relationships/hyperlink" Target="#'Summary '!A1"/></Relationships>
</file>

<file path=xl/drawings/_rels/drawing9.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3.png"/><Relationship Id="rId7" Type="http://schemas.openxmlformats.org/officeDocument/2006/relationships/hyperlink" Target="#'Configuration Screen'!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New Rule'!A1"/><Relationship Id="rId5" Type="http://schemas.openxmlformats.org/officeDocument/2006/relationships/hyperlink" Target="#'Data Dictionary'!A1"/><Relationship Id="rId4" Type="http://schemas.openxmlformats.org/officeDocument/2006/relationships/hyperlink" Target="#'Summary '!A1"/><Relationship Id="rId9" Type="http://schemas.microsoft.com/office/2007/relationships/hdphoto" Target="../media/hdphoto3.wdp"/></Relationships>
</file>

<file path=xl/drawings/_rels/drawing10.xml.rels><?xml version="1.0" encoding="UTF-8" standalone="yes"?>
<Relationships xmlns="http://schemas.openxmlformats.org/package/2006/relationships"><Relationship Id="rId3" Type="http://schemas.microsoft.com/office/2007/relationships/hdphoto" Target="../media/hdphoto4.wdp"/><Relationship Id="rId2" Type="http://schemas.openxmlformats.org/officeDocument/2006/relationships/image" Target="../media/image10.png"/><Relationship Id="rId1" Type="http://schemas.openxmlformats.org/officeDocument/2006/relationships/hyperlink" Target="#'Configuration Screen'!A1"/><Relationship Id="rId5" Type="http://schemas.openxmlformats.org/officeDocument/2006/relationships/hyperlink" Target="#'List of Compliance Rules'!A1"/><Relationship Id="rId4" Type="http://schemas.openxmlformats.org/officeDocument/2006/relationships/hyperlink" Target="#'Summary '!A1"/></Relationships>
</file>

<file path=xl/drawings/_rels/drawing11.xml.rels><?xml version="1.0" encoding="UTF-8" standalone="yes"?>
<Relationships xmlns="http://schemas.openxmlformats.org/package/2006/relationships"><Relationship Id="rId8" Type="http://schemas.openxmlformats.org/officeDocument/2006/relationships/hyperlink" Target="#'Summary '!A1"/><Relationship Id="rId3" Type="http://schemas.openxmlformats.org/officeDocument/2006/relationships/image" Target="../media/image3.png"/><Relationship Id="rId7" Type="http://schemas.openxmlformats.org/officeDocument/2006/relationships/hyperlink" Target="#'List of Compliance Rules'!A1"/><Relationship Id="rId2" Type="http://schemas.openxmlformats.org/officeDocument/2006/relationships/image" Target="../media/image2.png"/><Relationship Id="rId1" Type="http://schemas.openxmlformats.org/officeDocument/2006/relationships/image" Target="../media/image1.jpg"/><Relationship Id="rId6" Type="http://schemas.microsoft.com/office/2007/relationships/hdphoto" Target="../media/hdphoto2.wdp"/><Relationship Id="rId5" Type="http://schemas.openxmlformats.org/officeDocument/2006/relationships/image" Target="../media/image8.png"/><Relationship Id="rId4" Type="http://schemas.openxmlformats.org/officeDocument/2006/relationships/hyperlink" Target="#'Configuration Screen'!A1"/><Relationship Id="rId9" Type="http://schemas.openxmlformats.org/officeDocument/2006/relationships/hyperlink" Target="#'Data Dictionary'!A1"/></Relationships>
</file>

<file path=xl/drawings/drawing1.xml><?xml version="1.0" encoding="utf-8"?>
<xdr:wsDr xmlns:xdr="http://schemas.openxmlformats.org/drawingml/2006/spreadsheetDrawing" xmlns:a="http://schemas.openxmlformats.org/drawingml/2006/main">
  <xdr:twoCellAnchor editAs="oneCell">
    <xdr:from>
      <xdr:col>0</xdr:col>
      <xdr:colOff>6352</xdr:colOff>
      <xdr:row>0</xdr:row>
      <xdr:rowOff>12700</xdr:rowOff>
    </xdr:from>
    <xdr:to>
      <xdr:col>9</xdr:col>
      <xdr:colOff>0</xdr:colOff>
      <xdr:row>0</xdr:row>
      <xdr:rowOff>966953</xdr:rowOff>
    </xdr:to>
    <xdr:pic>
      <xdr:nvPicPr>
        <xdr:cNvPr id="2" name="Picture 1">
          <a:extLst>
            <a:ext uri="{FF2B5EF4-FFF2-40B4-BE49-F238E27FC236}">
              <a16:creationId xmlns:a16="http://schemas.microsoft.com/office/drawing/2014/main" id="{03C6E287-3213-5B3F-5268-9B559C85BB3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6352" y="12700"/>
          <a:ext cx="10306048" cy="944728"/>
        </a:xfrm>
        <a:prstGeom prst="rect">
          <a:avLst/>
        </a:prstGeom>
      </xdr:spPr>
    </xdr:pic>
    <xdr:clientData/>
  </xdr:twoCellAnchor>
  <xdr:twoCellAnchor editAs="oneCell">
    <xdr:from>
      <xdr:col>0</xdr:col>
      <xdr:colOff>63500</xdr:colOff>
      <xdr:row>0</xdr:row>
      <xdr:rowOff>139700</xdr:rowOff>
    </xdr:from>
    <xdr:to>
      <xdr:col>2</xdr:col>
      <xdr:colOff>457200</xdr:colOff>
      <xdr:row>0</xdr:row>
      <xdr:rowOff>829310</xdr:rowOff>
    </xdr:to>
    <xdr:pic>
      <xdr:nvPicPr>
        <xdr:cNvPr id="3" name="Picture 2">
          <a:extLst>
            <a:ext uri="{FF2B5EF4-FFF2-40B4-BE49-F238E27FC236}">
              <a16:creationId xmlns:a16="http://schemas.microsoft.com/office/drawing/2014/main" id="{EAEA9305-F0D2-56D7-17DB-255AD6A416AF}"/>
            </a:ext>
          </a:extLst>
        </xdr:cNvPr>
        <xdr:cNvPicPr>
          <a:picLocks noChangeAspect="1"/>
        </xdr:cNvPicPr>
      </xdr:nvPicPr>
      <xdr:blipFill>
        <a:blip xmlns:r="http://schemas.openxmlformats.org/officeDocument/2006/relationships" r:embed="rId2"/>
        <a:stretch>
          <a:fillRect/>
        </a:stretch>
      </xdr:blipFill>
      <xdr:spPr>
        <a:xfrm>
          <a:off x="63500" y="139700"/>
          <a:ext cx="2298700" cy="689610"/>
        </a:xfrm>
        <a:prstGeom prst="rect">
          <a:avLst/>
        </a:prstGeom>
      </xdr:spPr>
    </xdr:pic>
    <xdr:clientData/>
  </xdr:twoCellAnchor>
  <xdr:twoCellAnchor editAs="oneCell">
    <xdr:from>
      <xdr:col>7</xdr:col>
      <xdr:colOff>588433</xdr:colOff>
      <xdr:row>0</xdr:row>
      <xdr:rowOff>215900</xdr:rowOff>
    </xdr:from>
    <xdr:to>
      <xdr:col>9</xdr:col>
      <xdr:colOff>3175</xdr:colOff>
      <xdr:row>0</xdr:row>
      <xdr:rowOff>774700</xdr:rowOff>
    </xdr:to>
    <xdr:pic>
      <xdr:nvPicPr>
        <xdr:cNvPr id="4" name="Picture 3">
          <a:extLst>
            <a:ext uri="{FF2B5EF4-FFF2-40B4-BE49-F238E27FC236}">
              <a16:creationId xmlns:a16="http://schemas.microsoft.com/office/drawing/2014/main" id="{F6DEDB9B-50F6-A802-0ACB-D6BBDB144299}"/>
            </a:ext>
          </a:extLst>
        </xdr:cNvPr>
        <xdr:cNvPicPr>
          <a:picLocks noChangeAspect="1"/>
        </xdr:cNvPicPr>
      </xdr:nvPicPr>
      <xdr:blipFill>
        <a:blip xmlns:r="http://schemas.openxmlformats.org/officeDocument/2006/relationships" r:embed="rId3"/>
        <a:stretch>
          <a:fillRect/>
        </a:stretch>
      </xdr:blipFill>
      <xdr:spPr>
        <a:xfrm>
          <a:off x="7255933" y="215900"/>
          <a:ext cx="2777067" cy="55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819148</xdr:colOff>
      <xdr:row>1</xdr:row>
      <xdr:rowOff>25400</xdr:rowOff>
    </xdr:to>
    <xdr:grpSp>
      <xdr:nvGrpSpPr>
        <xdr:cNvPr id="5" name="Group 4">
          <a:extLst>
            <a:ext uri="{FF2B5EF4-FFF2-40B4-BE49-F238E27FC236}">
              <a16:creationId xmlns:a16="http://schemas.microsoft.com/office/drawing/2014/main" id="{08D81E68-0A2F-544F-A077-243834A351FA}"/>
            </a:ext>
          </a:extLst>
        </xdr:cNvPr>
        <xdr:cNvGrpSpPr/>
      </xdr:nvGrpSpPr>
      <xdr:grpSpPr>
        <a:xfrm>
          <a:off x="0" y="0"/>
          <a:ext cx="8408668" cy="1000760"/>
          <a:chOff x="0" y="0"/>
          <a:chExt cx="8408668" cy="1000760"/>
        </a:xfrm>
      </xdr:grpSpPr>
      <xdr:pic>
        <xdr:nvPicPr>
          <xdr:cNvPr id="2" name="Picture 1">
            <a:extLst>
              <a:ext uri="{FF2B5EF4-FFF2-40B4-BE49-F238E27FC236}">
                <a16:creationId xmlns:a16="http://schemas.microsoft.com/office/drawing/2014/main" id="{F2FC8296-9799-5D4C-8F94-11D171C3621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8262620" cy="1000760"/>
          </a:xfrm>
          <a:prstGeom prst="rect">
            <a:avLst/>
          </a:prstGeom>
        </xdr:spPr>
      </xdr:pic>
      <xdr:pic>
        <xdr:nvPicPr>
          <xdr:cNvPr id="3" name="Picture 2">
            <a:extLst>
              <a:ext uri="{FF2B5EF4-FFF2-40B4-BE49-F238E27FC236}">
                <a16:creationId xmlns:a16="http://schemas.microsoft.com/office/drawing/2014/main" id="{9C3D1249-4599-EE4F-BC5E-268EC9B0FE36}"/>
              </a:ext>
            </a:extLst>
          </xdr:cNvPr>
          <xdr:cNvPicPr>
            <a:picLocks noChangeAspect="1"/>
          </xdr:cNvPicPr>
        </xdr:nvPicPr>
        <xdr:blipFill>
          <a:blip xmlns:r="http://schemas.openxmlformats.org/officeDocument/2006/relationships" r:embed="rId2"/>
          <a:stretch>
            <a:fillRect/>
          </a:stretch>
        </xdr:blipFill>
        <xdr:spPr>
          <a:xfrm>
            <a:off x="57148" y="127000"/>
            <a:ext cx="2209800" cy="689610"/>
          </a:xfrm>
          <a:prstGeom prst="rect">
            <a:avLst/>
          </a:prstGeom>
        </xdr:spPr>
      </xdr:pic>
      <xdr:pic>
        <xdr:nvPicPr>
          <xdr:cNvPr id="4" name="Picture 3">
            <a:extLst>
              <a:ext uri="{FF2B5EF4-FFF2-40B4-BE49-F238E27FC236}">
                <a16:creationId xmlns:a16="http://schemas.microsoft.com/office/drawing/2014/main" id="{B3C3CB8D-A1B7-F744-9D6A-EBF5C70396D8}"/>
              </a:ext>
            </a:extLst>
          </xdr:cNvPr>
          <xdr:cNvPicPr>
            <a:picLocks noChangeAspect="1"/>
          </xdr:cNvPicPr>
        </xdr:nvPicPr>
        <xdr:blipFill>
          <a:blip xmlns:r="http://schemas.openxmlformats.org/officeDocument/2006/relationships" r:embed="rId3"/>
          <a:stretch>
            <a:fillRect/>
          </a:stretch>
        </xdr:blipFill>
        <xdr:spPr>
          <a:xfrm>
            <a:off x="5883061" y="203200"/>
            <a:ext cx="2525607" cy="55880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0</xdr:rowOff>
    </xdr:from>
    <xdr:to>
      <xdr:col>4</xdr:col>
      <xdr:colOff>87594</xdr:colOff>
      <xdr:row>0</xdr:row>
      <xdr:rowOff>944728</xdr:rowOff>
    </xdr:to>
    <xdr:grpSp>
      <xdr:nvGrpSpPr>
        <xdr:cNvPr id="5" name="Group 4">
          <a:extLst>
            <a:ext uri="{FF2B5EF4-FFF2-40B4-BE49-F238E27FC236}">
              <a16:creationId xmlns:a16="http://schemas.microsoft.com/office/drawing/2014/main" id="{FE467034-3D54-B691-4F7E-5D7A7095E911}"/>
            </a:ext>
          </a:extLst>
        </xdr:cNvPr>
        <xdr:cNvGrpSpPr/>
      </xdr:nvGrpSpPr>
      <xdr:grpSpPr>
        <a:xfrm>
          <a:off x="2026024" y="0"/>
          <a:ext cx="10710770" cy="944728"/>
          <a:chOff x="0" y="0"/>
          <a:chExt cx="9661899" cy="944728"/>
        </a:xfrm>
      </xdr:grpSpPr>
      <xdr:pic>
        <xdr:nvPicPr>
          <xdr:cNvPr id="2" name="Picture 1">
            <a:extLst>
              <a:ext uri="{FF2B5EF4-FFF2-40B4-BE49-F238E27FC236}">
                <a16:creationId xmlns:a16="http://schemas.microsoft.com/office/drawing/2014/main" id="{EB25D4E4-91A6-DE45-8457-9417529DE15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9661899" cy="944728"/>
          </a:xfrm>
          <a:prstGeom prst="rect">
            <a:avLst/>
          </a:prstGeom>
        </xdr:spPr>
      </xdr:pic>
      <xdr:pic>
        <xdr:nvPicPr>
          <xdr:cNvPr id="3" name="Picture 2">
            <a:extLst>
              <a:ext uri="{FF2B5EF4-FFF2-40B4-BE49-F238E27FC236}">
                <a16:creationId xmlns:a16="http://schemas.microsoft.com/office/drawing/2014/main" id="{C445D5B2-9E74-F243-9D84-9210764D46B0}"/>
              </a:ext>
            </a:extLst>
          </xdr:cNvPr>
          <xdr:cNvPicPr>
            <a:picLocks noChangeAspect="1"/>
          </xdr:cNvPicPr>
        </xdr:nvPicPr>
        <xdr:blipFill>
          <a:blip xmlns:r="http://schemas.openxmlformats.org/officeDocument/2006/relationships" r:embed="rId2"/>
          <a:stretch>
            <a:fillRect/>
          </a:stretch>
        </xdr:blipFill>
        <xdr:spPr>
          <a:xfrm>
            <a:off x="0" y="127000"/>
            <a:ext cx="2260974" cy="689610"/>
          </a:xfrm>
          <a:prstGeom prst="rect">
            <a:avLst/>
          </a:prstGeom>
        </xdr:spPr>
      </xdr:pic>
      <xdr:pic>
        <xdr:nvPicPr>
          <xdr:cNvPr id="4" name="Picture 3">
            <a:extLst>
              <a:ext uri="{FF2B5EF4-FFF2-40B4-BE49-F238E27FC236}">
                <a16:creationId xmlns:a16="http://schemas.microsoft.com/office/drawing/2014/main" id="{635982BD-91C2-FC49-8DB0-5AF100E0F2D6}"/>
              </a:ext>
            </a:extLst>
          </xdr:cNvPr>
          <xdr:cNvPicPr>
            <a:picLocks noChangeAspect="1"/>
          </xdr:cNvPicPr>
        </xdr:nvPicPr>
        <xdr:blipFill>
          <a:blip xmlns:r="http://schemas.openxmlformats.org/officeDocument/2006/relationships" r:embed="rId3"/>
          <a:stretch>
            <a:fillRect/>
          </a:stretch>
        </xdr:blipFill>
        <xdr:spPr>
          <a:xfrm>
            <a:off x="7357905" y="203200"/>
            <a:ext cx="1938867" cy="558800"/>
          </a:xfrm>
          <a:prstGeom prst="rect">
            <a:avLst/>
          </a:prstGeom>
        </xdr:spPr>
      </xdr:pic>
    </xdr:grpSp>
    <xdr:clientData/>
  </xdr:twoCellAnchor>
  <xdr:twoCellAnchor>
    <xdr:from>
      <xdr:col>0</xdr:col>
      <xdr:colOff>89648</xdr:colOff>
      <xdr:row>1</xdr:row>
      <xdr:rowOff>170331</xdr:rowOff>
    </xdr:from>
    <xdr:to>
      <xdr:col>0</xdr:col>
      <xdr:colOff>1918448</xdr:colOff>
      <xdr:row>5</xdr:row>
      <xdr:rowOff>53791</xdr:rowOff>
    </xdr:to>
    <xdr:grpSp>
      <xdr:nvGrpSpPr>
        <xdr:cNvPr id="17" name="Group 16">
          <a:hlinkClick xmlns:r="http://schemas.openxmlformats.org/officeDocument/2006/relationships" r:id="rId4"/>
          <a:extLst>
            <a:ext uri="{FF2B5EF4-FFF2-40B4-BE49-F238E27FC236}">
              <a16:creationId xmlns:a16="http://schemas.microsoft.com/office/drawing/2014/main" id="{0F70C534-BE5C-AFC0-474E-221279093DA2}"/>
            </a:ext>
          </a:extLst>
        </xdr:cNvPr>
        <xdr:cNvGrpSpPr/>
      </xdr:nvGrpSpPr>
      <xdr:grpSpPr>
        <a:xfrm>
          <a:off x="89648" y="1120590"/>
          <a:ext cx="1828800" cy="600636"/>
          <a:chOff x="89648" y="1120590"/>
          <a:chExt cx="1828800" cy="600636"/>
        </a:xfrm>
      </xdr:grpSpPr>
      <xdr:sp macro="" textlink="">
        <xdr:nvSpPr>
          <xdr:cNvPr id="6" name="Rectangle: Top Corners Rounded 5">
            <a:hlinkClick xmlns:r="http://schemas.openxmlformats.org/officeDocument/2006/relationships" r:id="rId4"/>
            <a:extLst>
              <a:ext uri="{FF2B5EF4-FFF2-40B4-BE49-F238E27FC236}">
                <a16:creationId xmlns:a16="http://schemas.microsoft.com/office/drawing/2014/main" id="{AC681693-A564-C2E0-C5BB-832BEA31DA06}"/>
              </a:ext>
            </a:extLst>
          </xdr:cNvPr>
          <xdr:cNvSpPr/>
        </xdr:nvSpPr>
        <xdr:spPr>
          <a:xfrm>
            <a:off x="89648" y="1120590"/>
            <a:ext cx="1828800" cy="600636"/>
          </a:xfrm>
          <a:prstGeom prst="round2Same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t>BACK</a:t>
            </a:r>
          </a:p>
        </xdr:txBody>
      </xdr:sp>
      <xdr:pic>
        <xdr:nvPicPr>
          <xdr:cNvPr id="9" name="Picture 8" descr="Back Icon PNG Images, Vectors Free Download - Pngtree">
            <a:extLst>
              <a:ext uri="{FF2B5EF4-FFF2-40B4-BE49-F238E27FC236}">
                <a16:creationId xmlns:a16="http://schemas.microsoft.com/office/drawing/2014/main" id="{5A4F24D8-E20B-9AB8-DF3F-98BFBF072C56}"/>
              </a:ext>
            </a:extLst>
          </xdr:cNvPr>
          <xdr:cNvPicPr>
            <a:picLocks noChangeAspect="1" noChangeArrowheads="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backgroundRemoval t="10000" b="90000" l="10000" r="90000"/>
                    </a14:imgEffect>
                  </a14:imgLayer>
                </a14:imgProps>
              </a:ext>
              <a:ext uri="{28A0092B-C50C-407E-A947-70E740481C1C}">
                <a14:useLocalDpi xmlns:a14="http://schemas.microsoft.com/office/drawing/2010/main" val="0"/>
              </a:ext>
            </a:extLst>
          </a:blip>
          <a:srcRect/>
          <a:stretch>
            <a:fillRect/>
          </a:stretch>
        </xdr:blipFill>
        <xdr:spPr bwMode="auto">
          <a:xfrm>
            <a:off x="199289" y="1201272"/>
            <a:ext cx="438561" cy="43030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0</xdr:col>
      <xdr:colOff>89646</xdr:colOff>
      <xdr:row>7</xdr:row>
      <xdr:rowOff>98613</xdr:rowOff>
    </xdr:from>
    <xdr:to>
      <xdr:col>0</xdr:col>
      <xdr:colOff>1918446</xdr:colOff>
      <xdr:row>10</xdr:row>
      <xdr:rowOff>161367</xdr:rowOff>
    </xdr:to>
    <xdr:sp macro="" textlink="">
      <xdr:nvSpPr>
        <xdr:cNvPr id="11" name="Rectangle: Rounded Corners 10">
          <a:hlinkClick xmlns:r="http://schemas.openxmlformats.org/officeDocument/2006/relationships" r:id="rId7"/>
          <a:extLst>
            <a:ext uri="{FF2B5EF4-FFF2-40B4-BE49-F238E27FC236}">
              <a16:creationId xmlns:a16="http://schemas.microsoft.com/office/drawing/2014/main" id="{6F6F1C79-D467-4341-BF70-D59C1E649AB5}"/>
            </a:ext>
          </a:extLst>
        </xdr:cNvPr>
        <xdr:cNvSpPr/>
      </xdr:nvSpPr>
      <xdr:spPr>
        <a:xfrm>
          <a:off x="89646" y="2124637"/>
          <a:ext cx="1828800" cy="600636"/>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IN" sz="1200" b="1"/>
            <a:t>FUNDS</a:t>
          </a:r>
        </a:p>
      </xdr:txBody>
    </xdr:sp>
    <xdr:clientData/>
  </xdr:twoCellAnchor>
  <xdr:twoCellAnchor>
    <xdr:from>
      <xdr:col>0</xdr:col>
      <xdr:colOff>98611</xdr:colOff>
      <xdr:row>13</xdr:row>
      <xdr:rowOff>8966</xdr:rowOff>
    </xdr:from>
    <xdr:to>
      <xdr:col>0</xdr:col>
      <xdr:colOff>1927411</xdr:colOff>
      <xdr:row>16</xdr:row>
      <xdr:rowOff>71719</xdr:rowOff>
    </xdr:to>
    <xdr:sp macro="" textlink="">
      <xdr:nvSpPr>
        <xdr:cNvPr id="12" name="Rectangle: Rounded Corners 11">
          <a:hlinkClick xmlns:r="http://schemas.openxmlformats.org/officeDocument/2006/relationships" r:id="rId8"/>
          <a:extLst>
            <a:ext uri="{FF2B5EF4-FFF2-40B4-BE49-F238E27FC236}">
              <a16:creationId xmlns:a16="http://schemas.microsoft.com/office/drawing/2014/main" id="{7B70AE5A-0EE8-4962-B449-5CD472183C48}"/>
            </a:ext>
          </a:extLst>
        </xdr:cNvPr>
        <xdr:cNvSpPr/>
      </xdr:nvSpPr>
      <xdr:spPr>
        <a:xfrm>
          <a:off x="98611" y="3110754"/>
          <a:ext cx="1828800" cy="60063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SUMMARY</a:t>
          </a:r>
        </a:p>
      </xdr:txBody>
    </xdr:sp>
    <xdr:clientData/>
  </xdr:twoCellAnchor>
  <xdr:twoCellAnchor>
    <xdr:from>
      <xdr:col>0</xdr:col>
      <xdr:colOff>89647</xdr:colOff>
      <xdr:row>18</xdr:row>
      <xdr:rowOff>116542</xdr:rowOff>
    </xdr:from>
    <xdr:to>
      <xdr:col>0</xdr:col>
      <xdr:colOff>1918447</xdr:colOff>
      <xdr:row>21</xdr:row>
      <xdr:rowOff>8966</xdr:rowOff>
    </xdr:to>
    <xdr:sp macro="" textlink="">
      <xdr:nvSpPr>
        <xdr:cNvPr id="13" name="Rectangle: Rounded Corners 12">
          <a:hlinkClick xmlns:r="http://schemas.openxmlformats.org/officeDocument/2006/relationships" r:id="rId9"/>
          <a:extLst>
            <a:ext uri="{FF2B5EF4-FFF2-40B4-BE49-F238E27FC236}">
              <a16:creationId xmlns:a16="http://schemas.microsoft.com/office/drawing/2014/main" id="{F9B06472-10FF-4EF8-915F-F258AD9AC6CE}"/>
            </a:ext>
          </a:extLst>
        </xdr:cNvPr>
        <xdr:cNvSpPr/>
      </xdr:nvSpPr>
      <xdr:spPr>
        <a:xfrm>
          <a:off x="89647" y="4114801"/>
          <a:ext cx="1828800" cy="600636"/>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IN" sz="1200" b="1"/>
            <a:t>VIEW RULES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30</xdr:col>
      <xdr:colOff>1925923</xdr:colOff>
      <xdr:row>0</xdr:row>
      <xdr:rowOff>0</xdr:rowOff>
    </xdr:from>
    <xdr:to>
      <xdr:col>32</xdr:col>
      <xdr:colOff>1112308</xdr:colOff>
      <xdr:row>4</xdr:row>
      <xdr:rowOff>33676</xdr:rowOff>
    </xdr:to>
    <xdr:pic>
      <xdr:nvPicPr>
        <xdr:cNvPr id="4" name="Picture 3">
          <a:extLst>
            <a:ext uri="{FF2B5EF4-FFF2-40B4-BE49-F238E27FC236}">
              <a16:creationId xmlns:a16="http://schemas.microsoft.com/office/drawing/2014/main" id="{D92C993C-590C-1E47-B240-A39FEF771378}"/>
            </a:ext>
          </a:extLst>
        </xdr:cNvPr>
        <xdr:cNvPicPr>
          <a:picLocks noChangeAspect="1"/>
        </xdr:cNvPicPr>
      </xdr:nvPicPr>
      <xdr:blipFill>
        <a:blip xmlns:r="http://schemas.openxmlformats.org/officeDocument/2006/relationships" r:embed="rId1"/>
        <a:stretch>
          <a:fillRect/>
        </a:stretch>
      </xdr:blipFill>
      <xdr:spPr>
        <a:xfrm>
          <a:off x="43793114" y="203199"/>
          <a:ext cx="3733912" cy="75286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23</xdr:col>
      <xdr:colOff>0</xdr:colOff>
      <xdr:row>31</xdr:row>
      <xdr:rowOff>152400</xdr:rowOff>
    </xdr:to>
    <xdr:sp macro="" textlink="">
      <xdr:nvSpPr>
        <xdr:cNvPr id="18" name="Rectangle 17">
          <a:extLst>
            <a:ext uri="{FF2B5EF4-FFF2-40B4-BE49-F238E27FC236}">
              <a16:creationId xmlns:a16="http://schemas.microsoft.com/office/drawing/2014/main" id="{B3176634-E007-1EA1-A7A4-8EBB564B30DD}"/>
            </a:ext>
          </a:extLst>
        </xdr:cNvPr>
        <xdr:cNvSpPr>
          <a:spLocks noChangeAspect="1"/>
        </xdr:cNvSpPr>
      </xdr:nvSpPr>
      <xdr:spPr>
        <a:xfrm>
          <a:off x="0" y="0"/>
          <a:ext cx="15729857" cy="5214257"/>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9</xdr:col>
      <xdr:colOff>47902</xdr:colOff>
      <xdr:row>4</xdr:row>
      <xdr:rowOff>91440</xdr:rowOff>
    </xdr:from>
    <xdr:to>
      <xdr:col>14</xdr:col>
      <xdr:colOff>32662</xdr:colOff>
      <xdr:row>8</xdr:row>
      <xdr:rowOff>121920</xdr:rowOff>
    </xdr:to>
    <xdr:sp macro="[0]!RectangleRoundedCorners4_Click" textlink="">
      <xdr:nvSpPr>
        <xdr:cNvPr id="5" name="Rectangle: Rounded Corners 4">
          <a:hlinkClick xmlns:r="http://schemas.openxmlformats.org/officeDocument/2006/relationships" r:id="rId1"/>
          <a:extLst>
            <a:ext uri="{FF2B5EF4-FFF2-40B4-BE49-F238E27FC236}">
              <a16:creationId xmlns:a16="http://schemas.microsoft.com/office/drawing/2014/main" id="{13A8C1C8-4509-47A5-294C-E1A33255ACCC}"/>
            </a:ext>
          </a:extLst>
        </xdr:cNvPr>
        <xdr:cNvSpPr>
          <a:spLocks noChangeAspect="1"/>
        </xdr:cNvSpPr>
      </xdr:nvSpPr>
      <xdr:spPr>
        <a:xfrm>
          <a:off x="5534302" y="744583"/>
          <a:ext cx="3087189" cy="683623"/>
        </a:xfrm>
        <a:prstGeom prst="roundRect">
          <a:avLst/>
        </a:prstGeom>
        <a:solidFill>
          <a:srgbClr val="251189"/>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effectLst>
                <a:innerShdw blurRad="114300" dist="50800" dir="18900000">
                  <a:prstClr val="black">
                    <a:alpha val="50000"/>
                  </a:prstClr>
                </a:innerShdw>
              </a:effectLst>
            </a:rPr>
            <a:t>ADD NEW COMPLIANCE</a:t>
          </a:r>
          <a:r>
            <a:rPr lang="en-IN" sz="1400" b="1" baseline="0">
              <a:effectLst>
                <a:innerShdw blurRad="114300" dist="50800" dir="18900000">
                  <a:prstClr val="black">
                    <a:alpha val="50000"/>
                  </a:prstClr>
                </a:innerShdw>
              </a:effectLst>
            </a:rPr>
            <a:t> RULE</a:t>
          </a:r>
          <a:endParaRPr lang="en-IN" sz="1400" b="1">
            <a:effectLst>
              <a:innerShdw blurRad="114300" dist="50800" dir="18900000">
                <a:prstClr val="black">
                  <a:alpha val="50000"/>
                </a:prstClr>
              </a:innerShdw>
            </a:effectLst>
          </a:endParaRPr>
        </a:p>
      </xdr:txBody>
    </xdr:sp>
    <xdr:clientData/>
  </xdr:twoCellAnchor>
  <xdr:twoCellAnchor editAs="absolute">
    <xdr:from>
      <xdr:col>1</xdr:col>
      <xdr:colOff>543200</xdr:colOff>
      <xdr:row>4</xdr:row>
      <xdr:rowOff>119744</xdr:rowOff>
    </xdr:from>
    <xdr:to>
      <xdr:col>6</xdr:col>
      <xdr:colOff>582389</xdr:colOff>
      <xdr:row>8</xdr:row>
      <xdr:rowOff>150224</xdr:rowOff>
    </xdr:to>
    <xdr:sp macro="[0]!navcomprules" textlink="">
      <xdr:nvSpPr>
        <xdr:cNvPr id="6" name="Rectangle: Rounded Corners 5">
          <a:hlinkClick xmlns:r="http://schemas.openxmlformats.org/officeDocument/2006/relationships" r:id="rId2"/>
          <a:extLst>
            <a:ext uri="{FF2B5EF4-FFF2-40B4-BE49-F238E27FC236}">
              <a16:creationId xmlns:a16="http://schemas.microsoft.com/office/drawing/2014/main" id="{B52099CA-B634-4578-B477-C32AC3ADC665}"/>
            </a:ext>
          </a:extLst>
        </xdr:cNvPr>
        <xdr:cNvSpPr>
          <a:spLocks noChangeAspect="1"/>
        </xdr:cNvSpPr>
      </xdr:nvSpPr>
      <xdr:spPr>
        <a:xfrm>
          <a:off x="1152800" y="772887"/>
          <a:ext cx="3087189" cy="683623"/>
        </a:xfrm>
        <a:prstGeom prst="roundRect">
          <a:avLst/>
        </a:prstGeom>
        <a:solidFill>
          <a:schemeClr val="accent2">
            <a:lumMod val="50000"/>
          </a:schemeClr>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baseline="0">
              <a:effectLst>
                <a:innerShdw blurRad="114300" dist="50800" dir="18900000">
                  <a:prstClr val="black">
                    <a:alpha val="50000"/>
                  </a:prstClr>
                </a:innerShdw>
              </a:effectLst>
            </a:rPr>
            <a:t>VIEW COMPLIANCE RULES</a:t>
          </a:r>
          <a:endParaRPr lang="en-IN" sz="1400" b="1">
            <a:effectLst>
              <a:innerShdw blurRad="114300" dist="50800" dir="18900000">
                <a:prstClr val="black">
                  <a:alpha val="50000"/>
                </a:prstClr>
              </a:innerShdw>
            </a:effectLst>
          </a:endParaRPr>
        </a:p>
      </xdr:txBody>
    </xdr:sp>
    <xdr:clientData/>
  </xdr:twoCellAnchor>
  <xdr:twoCellAnchor editAs="absolute">
    <xdr:from>
      <xdr:col>16</xdr:col>
      <xdr:colOff>271054</xdr:colOff>
      <xdr:row>4</xdr:row>
      <xdr:rowOff>65314</xdr:rowOff>
    </xdr:from>
    <xdr:to>
      <xdr:col>20</xdr:col>
      <xdr:colOff>919843</xdr:colOff>
      <xdr:row>8</xdr:row>
      <xdr:rowOff>95794</xdr:rowOff>
    </xdr:to>
    <xdr:sp macro="[0]!navcomprules" textlink="">
      <xdr:nvSpPr>
        <xdr:cNvPr id="7" name="Rectangle: Rounded Corners 6">
          <a:hlinkClick xmlns:r="http://schemas.openxmlformats.org/officeDocument/2006/relationships" r:id="rId3"/>
          <a:extLst>
            <a:ext uri="{FF2B5EF4-FFF2-40B4-BE49-F238E27FC236}">
              <a16:creationId xmlns:a16="http://schemas.microsoft.com/office/drawing/2014/main" id="{384199A3-7A42-42A3-9E20-037768BAE581}"/>
            </a:ext>
          </a:extLst>
        </xdr:cNvPr>
        <xdr:cNvSpPr>
          <a:spLocks noChangeAspect="1"/>
        </xdr:cNvSpPr>
      </xdr:nvSpPr>
      <xdr:spPr>
        <a:xfrm>
          <a:off x="10079083" y="718457"/>
          <a:ext cx="3087189" cy="683623"/>
        </a:xfrm>
        <a:prstGeom prst="roundRect">
          <a:avLst/>
        </a:prstGeom>
        <a:solidFill>
          <a:schemeClr val="accent5">
            <a:lumMod val="75000"/>
          </a:schemeClr>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effectLst>
                <a:innerShdw blurRad="114300" dist="50800" dir="18900000">
                  <a:prstClr val="black">
                    <a:alpha val="50000"/>
                  </a:prstClr>
                </a:innerShdw>
              </a:effectLst>
            </a:rPr>
            <a:t>GO</a:t>
          </a:r>
          <a:r>
            <a:rPr lang="en-IN" sz="1400" b="1" baseline="0">
              <a:effectLst>
                <a:innerShdw blurRad="114300" dist="50800" dir="18900000">
                  <a:prstClr val="black">
                    <a:alpha val="50000"/>
                  </a:prstClr>
                </a:innerShdw>
              </a:effectLst>
            </a:rPr>
            <a:t> TO FUNDS</a:t>
          </a:r>
          <a:endParaRPr lang="en-IN" sz="1400" b="1">
            <a:effectLst>
              <a:innerShdw blurRad="114300" dist="50800" dir="18900000">
                <a:prstClr val="black">
                  <a:alpha val="50000"/>
                </a:prstClr>
              </a:innerShdw>
            </a:effectLst>
          </a:endParaRPr>
        </a:p>
      </xdr:txBody>
    </xdr:sp>
    <xdr:clientData/>
  </xdr:twoCellAnchor>
  <xdr:twoCellAnchor editAs="absolute">
    <xdr:from>
      <xdr:col>16</xdr:col>
      <xdr:colOff>358138</xdr:colOff>
      <xdr:row>12</xdr:row>
      <xdr:rowOff>96689</xdr:rowOff>
    </xdr:from>
    <xdr:to>
      <xdr:col>20</xdr:col>
      <xdr:colOff>952498</xdr:colOff>
      <xdr:row>16</xdr:row>
      <xdr:rowOff>134213</xdr:rowOff>
    </xdr:to>
    <xdr:sp macro="[0]!RectangleRoundedUpdateFund" textlink="">
      <xdr:nvSpPr>
        <xdr:cNvPr id="9" name="Rectangle: Rounded Corners 8">
          <a:extLst>
            <a:ext uri="{FF2B5EF4-FFF2-40B4-BE49-F238E27FC236}">
              <a16:creationId xmlns:a16="http://schemas.microsoft.com/office/drawing/2014/main" id="{359CE4E7-F976-40C0-BD5E-C79BA28DE69C}"/>
            </a:ext>
          </a:extLst>
        </xdr:cNvPr>
        <xdr:cNvSpPr>
          <a:spLocks noChangeAspect="1"/>
        </xdr:cNvSpPr>
      </xdr:nvSpPr>
      <xdr:spPr>
        <a:xfrm>
          <a:off x="10166167" y="2056118"/>
          <a:ext cx="3032760" cy="690666"/>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IN" sz="1400" b="1">
              <a:effectLst>
                <a:innerShdw blurRad="114300" dist="50800" dir="18900000">
                  <a:prstClr val="black">
                    <a:alpha val="50000"/>
                  </a:prstClr>
                </a:innerShdw>
              </a:effectLst>
            </a:rPr>
            <a:t>ADD</a:t>
          </a:r>
          <a:r>
            <a:rPr lang="en-IN" sz="1400" b="1" baseline="0">
              <a:effectLst>
                <a:innerShdw blurRad="114300" dist="50800" dir="18900000">
                  <a:prstClr val="black">
                    <a:alpha val="50000"/>
                  </a:prstClr>
                </a:innerShdw>
              </a:effectLst>
            </a:rPr>
            <a:t> NEW FUND</a:t>
          </a:r>
          <a:endParaRPr lang="en-IN" sz="1400" b="1">
            <a:effectLst>
              <a:innerShdw blurRad="114300" dist="50800" dir="18900000">
                <a:prstClr val="black">
                  <a:alpha val="50000"/>
                </a:prstClr>
              </a:innerShdw>
            </a:effectLst>
          </a:endParaRPr>
        </a:p>
      </xdr:txBody>
    </xdr:sp>
    <xdr:clientData/>
  </xdr:twoCellAnchor>
  <xdr:twoCellAnchor editAs="absolute">
    <xdr:from>
      <xdr:col>1</xdr:col>
      <xdr:colOff>521424</xdr:colOff>
      <xdr:row>12</xdr:row>
      <xdr:rowOff>130628</xdr:rowOff>
    </xdr:from>
    <xdr:to>
      <xdr:col>6</xdr:col>
      <xdr:colOff>506184</xdr:colOff>
      <xdr:row>16</xdr:row>
      <xdr:rowOff>161109</xdr:rowOff>
    </xdr:to>
    <xdr:sp macro="[0]!navcomprules" textlink="">
      <xdr:nvSpPr>
        <xdr:cNvPr id="12" name="Rectangle: Rounded Corners 11">
          <a:hlinkClick xmlns:r="http://schemas.openxmlformats.org/officeDocument/2006/relationships" r:id="rId4"/>
          <a:extLst>
            <a:ext uri="{FF2B5EF4-FFF2-40B4-BE49-F238E27FC236}">
              <a16:creationId xmlns:a16="http://schemas.microsoft.com/office/drawing/2014/main" id="{AEB851A4-DB3A-411D-B4D6-75B72A210074}"/>
            </a:ext>
          </a:extLst>
        </xdr:cNvPr>
        <xdr:cNvSpPr>
          <a:spLocks noChangeAspect="1"/>
        </xdr:cNvSpPr>
      </xdr:nvSpPr>
      <xdr:spPr>
        <a:xfrm>
          <a:off x="1131024" y="2090057"/>
          <a:ext cx="3032760" cy="683623"/>
        </a:xfrm>
        <a:prstGeom prst="roundRect">
          <a:avLst/>
        </a:prstGeom>
        <a:solidFill>
          <a:schemeClr val="bg1">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400" b="1">
              <a:effectLst>
                <a:innerShdw blurRad="114300" dist="50800" dir="18900000">
                  <a:prstClr val="black">
                    <a:alpha val="50000"/>
                  </a:prstClr>
                </a:innerShdw>
              </a:effectLst>
            </a:rPr>
            <a:t>HELP</a:t>
          </a:r>
          <a:r>
            <a:rPr lang="en-IN" sz="1400" b="1" baseline="0">
              <a:effectLst>
                <a:innerShdw blurRad="114300" dist="50800" dir="18900000">
                  <a:prstClr val="black">
                    <a:alpha val="50000"/>
                  </a:prstClr>
                </a:innerShdw>
              </a:effectLst>
            </a:rPr>
            <a:t> &amp; DOCUMENTATION</a:t>
          </a:r>
          <a:endParaRPr lang="en-IN" sz="1400" b="1">
            <a:effectLst>
              <a:innerShdw blurRad="114300" dist="50800" dir="18900000">
                <a:prstClr val="black">
                  <a:alpha val="50000"/>
                </a:prstClr>
              </a:innerShdw>
            </a:effectLst>
          </a:endParaRPr>
        </a:p>
      </xdr:txBody>
    </xdr:sp>
    <xdr:clientData/>
  </xdr:twoCellAnchor>
  <xdr:twoCellAnchor editAs="absolute">
    <xdr:from>
      <xdr:col>9</xdr:col>
      <xdr:colOff>71849</xdr:colOff>
      <xdr:row>12</xdr:row>
      <xdr:rowOff>127557</xdr:rowOff>
    </xdr:from>
    <xdr:to>
      <xdr:col>14</xdr:col>
      <xdr:colOff>2180</xdr:colOff>
      <xdr:row>16</xdr:row>
      <xdr:rowOff>158038</xdr:rowOff>
    </xdr:to>
    <xdr:sp macro="[0]!navcomprules" textlink="">
      <xdr:nvSpPr>
        <xdr:cNvPr id="13" name="Rectangle: Rounded Corners 12">
          <a:hlinkClick xmlns:r="http://schemas.openxmlformats.org/officeDocument/2006/relationships" r:id="rId5"/>
          <a:extLst>
            <a:ext uri="{FF2B5EF4-FFF2-40B4-BE49-F238E27FC236}">
              <a16:creationId xmlns:a16="http://schemas.microsoft.com/office/drawing/2014/main" id="{ECE86B9D-9A6F-4F44-AA5B-D179A6117A23}"/>
            </a:ext>
          </a:extLst>
        </xdr:cNvPr>
        <xdr:cNvSpPr>
          <a:spLocks noChangeAspect="1"/>
        </xdr:cNvSpPr>
      </xdr:nvSpPr>
      <xdr:spPr>
        <a:xfrm>
          <a:off x="5558249" y="2086986"/>
          <a:ext cx="3032760" cy="683623"/>
        </a:xfrm>
        <a:prstGeom prst="roundRect">
          <a:avLst/>
        </a:prstGeom>
        <a:solidFill>
          <a:schemeClr val="accent6">
            <a:lumMod val="75000"/>
          </a:schemeClr>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baseline="0">
              <a:effectLst>
                <a:innerShdw blurRad="114300" dist="50800" dir="18900000">
                  <a:prstClr val="black">
                    <a:alpha val="50000"/>
                  </a:prstClr>
                </a:innerShdw>
              </a:effectLst>
            </a:rPr>
            <a:t>FUND SUMMARY &amp; COMPLIANCE CHECK</a:t>
          </a:r>
          <a:endParaRPr lang="en-IN" sz="1400" b="1">
            <a:effectLst>
              <a:innerShdw blurRad="114300" dist="50800" dir="18900000">
                <a:prstClr val="black">
                  <a:alpha val="50000"/>
                </a:prstClr>
              </a:innerShdw>
            </a:effectLst>
          </a:endParaRPr>
        </a:p>
      </xdr:txBody>
    </xdr:sp>
    <xdr:clientData/>
  </xdr:twoCellAnchor>
  <xdr:twoCellAnchor editAs="absolute">
    <xdr:from>
      <xdr:col>1</xdr:col>
      <xdr:colOff>152396</xdr:colOff>
      <xdr:row>22</xdr:row>
      <xdr:rowOff>97973</xdr:rowOff>
    </xdr:from>
    <xdr:to>
      <xdr:col>21</xdr:col>
      <xdr:colOff>337453</xdr:colOff>
      <xdr:row>24</xdr:row>
      <xdr:rowOff>2</xdr:rowOff>
    </xdr:to>
    <xdr:sp macro="" textlink="">
      <xdr:nvSpPr>
        <xdr:cNvPr id="16" name="Rectangle 15">
          <a:extLst>
            <a:ext uri="{FF2B5EF4-FFF2-40B4-BE49-F238E27FC236}">
              <a16:creationId xmlns:a16="http://schemas.microsoft.com/office/drawing/2014/main" id="{FA943F8F-40B2-3260-C6C7-BAEEEF0BDA7D}"/>
            </a:ext>
          </a:extLst>
        </xdr:cNvPr>
        <xdr:cNvSpPr>
          <a:spLocks noChangeAspect="1"/>
        </xdr:cNvSpPr>
      </xdr:nvSpPr>
      <xdr:spPr>
        <a:xfrm>
          <a:off x="761996" y="3690259"/>
          <a:ext cx="13041086" cy="228600"/>
        </a:xfrm>
        <a:prstGeom prst="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b="1">
              <a:solidFill>
                <a:schemeClr val="tx1"/>
              </a:solidFill>
            </a:rPr>
            <a:t>USE MICROSOFT</a:t>
          </a:r>
          <a:r>
            <a:rPr lang="en-IN" sz="1100" b="1" baseline="0">
              <a:solidFill>
                <a:schemeClr val="tx1"/>
              </a:solidFill>
            </a:rPr>
            <a:t> EXCEL 2021 VERSION FOR COMPLIANCE CHECK</a:t>
          </a:r>
          <a:endParaRPr lang="en-IN" sz="1100" b="1">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601169</xdr:colOff>
      <xdr:row>3</xdr:row>
      <xdr:rowOff>119742</xdr:rowOff>
    </xdr:from>
    <xdr:to>
      <xdr:col>6</xdr:col>
      <xdr:colOff>65315</xdr:colOff>
      <xdr:row>14</xdr:row>
      <xdr:rowOff>55190</xdr:rowOff>
    </xdr:to>
    <xdr:graphicFrame macro="">
      <xdr:nvGraphicFramePr>
        <xdr:cNvPr id="5" name="Chart 3">
          <a:extLst>
            <a:ext uri="{FF2B5EF4-FFF2-40B4-BE49-F238E27FC236}">
              <a16:creationId xmlns:a16="http://schemas.microsoft.com/office/drawing/2014/main" id="{FD2FD75F-6848-4E59-A416-9329BC2470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601567</xdr:colOff>
      <xdr:row>15</xdr:row>
      <xdr:rowOff>54429</xdr:rowOff>
    </xdr:from>
    <xdr:to>
      <xdr:col>6</xdr:col>
      <xdr:colOff>65315</xdr:colOff>
      <xdr:row>27</xdr:row>
      <xdr:rowOff>21771</xdr:rowOff>
    </xdr:to>
    <xdr:graphicFrame macro="">
      <xdr:nvGraphicFramePr>
        <xdr:cNvPr id="6" name="Chart 4">
          <a:extLst>
            <a:ext uri="{FF2B5EF4-FFF2-40B4-BE49-F238E27FC236}">
              <a16:creationId xmlns:a16="http://schemas.microsoft.com/office/drawing/2014/main" id="{AA20CB6F-B60A-64CD-9F5E-EF7D6E757E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554773</xdr:colOff>
      <xdr:row>28</xdr:row>
      <xdr:rowOff>54428</xdr:rowOff>
    </xdr:from>
    <xdr:to>
      <xdr:col>6</xdr:col>
      <xdr:colOff>54430</xdr:colOff>
      <xdr:row>41</xdr:row>
      <xdr:rowOff>3220</xdr:rowOff>
    </xdr:to>
    <xdr:graphicFrame macro="">
      <xdr:nvGraphicFramePr>
        <xdr:cNvPr id="7" name="Chart 5">
          <a:extLst>
            <a:ext uri="{FF2B5EF4-FFF2-40B4-BE49-F238E27FC236}">
              <a16:creationId xmlns:a16="http://schemas.microsoft.com/office/drawing/2014/main" id="{8A78ADA8-E08C-99B7-E799-EAA3BB21AB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424543</xdr:colOff>
      <xdr:row>1</xdr:row>
      <xdr:rowOff>43543</xdr:rowOff>
    </xdr:from>
    <xdr:to>
      <xdr:col>6</xdr:col>
      <xdr:colOff>435429</xdr:colOff>
      <xdr:row>43</xdr:row>
      <xdr:rowOff>130629</xdr:rowOff>
    </xdr:to>
    <xdr:cxnSp macro="">
      <xdr:nvCxnSpPr>
        <xdr:cNvPr id="9" name="Straight Connector 8">
          <a:extLst>
            <a:ext uri="{FF2B5EF4-FFF2-40B4-BE49-F238E27FC236}">
              <a16:creationId xmlns:a16="http://schemas.microsoft.com/office/drawing/2014/main" id="{EC1B6DE7-7D78-1ADB-F44A-E27C760004F1}"/>
            </a:ext>
          </a:extLst>
        </xdr:cNvPr>
        <xdr:cNvCxnSpPr/>
      </xdr:nvCxnSpPr>
      <xdr:spPr>
        <a:xfrm flipH="1">
          <a:off x="4408714" y="206829"/>
          <a:ext cx="10886" cy="7075714"/>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9</xdr:col>
      <xdr:colOff>1060862</xdr:colOff>
      <xdr:row>33</xdr:row>
      <xdr:rowOff>41565</xdr:rowOff>
    </xdr:from>
    <xdr:to>
      <xdr:col>11</xdr:col>
      <xdr:colOff>55418</xdr:colOff>
      <xdr:row>38</xdr:row>
      <xdr:rowOff>98960</xdr:rowOff>
    </xdr:to>
    <xdr:sp macro="" textlink="">
      <xdr:nvSpPr>
        <xdr:cNvPr id="10" name="Rectangle: Rounded Corners 9">
          <a:hlinkClick xmlns:r="http://schemas.openxmlformats.org/officeDocument/2006/relationships" r:id="rId4"/>
          <a:extLst>
            <a:ext uri="{FF2B5EF4-FFF2-40B4-BE49-F238E27FC236}">
              <a16:creationId xmlns:a16="http://schemas.microsoft.com/office/drawing/2014/main" id="{DBA53EA3-1093-BD4E-1076-4339520CB6C0}"/>
            </a:ext>
          </a:extLst>
        </xdr:cNvPr>
        <xdr:cNvSpPr/>
      </xdr:nvSpPr>
      <xdr:spPr>
        <a:xfrm>
          <a:off x="10135589" y="6165274"/>
          <a:ext cx="3372593" cy="888668"/>
        </a:xfrm>
        <a:prstGeom prst="round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latin typeface="Calibri" panose="020F0502020204030204" pitchFamily="34" charset="0"/>
              <a:ea typeface="Calibri" panose="020F0502020204030204" pitchFamily="34" charset="0"/>
              <a:cs typeface="Calibri" panose="020F0502020204030204" pitchFamily="34" charset="0"/>
            </a:rPr>
            <a:t>ADD</a:t>
          </a:r>
          <a:r>
            <a:rPr lang="en-IN" sz="2000" baseline="0">
              <a:latin typeface="Calibri" panose="020F0502020204030204" pitchFamily="34" charset="0"/>
              <a:ea typeface="Calibri" panose="020F0502020204030204" pitchFamily="34" charset="0"/>
              <a:cs typeface="Calibri" panose="020F0502020204030204" pitchFamily="34" charset="0"/>
            </a:rPr>
            <a:t> NEW RULE</a:t>
          </a:r>
          <a:endParaRPr lang="en-IN" sz="2000">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11</xdr:col>
      <xdr:colOff>1461659</xdr:colOff>
      <xdr:row>33</xdr:row>
      <xdr:rowOff>41563</xdr:rowOff>
    </xdr:from>
    <xdr:to>
      <xdr:col>13</xdr:col>
      <xdr:colOff>872837</xdr:colOff>
      <xdr:row>38</xdr:row>
      <xdr:rowOff>27709</xdr:rowOff>
    </xdr:to>
    <xdr:sp macro="" textlink="">
      <xdr:nvSpPr>
        <xdr:cNvPr id="12" name="Rectangle: Rounded Corners 11">
          <a:hlinkClick xmlns:r="http://schemas.openxmlformats.org/officeDocument/2006/relationships" r:id="rId5"/>
          <a:extLst>
            <a:ext uri="{FF2B5EF4-FFF2-40B4-BE49-F238E27FC236}">
              <a16:creationId xmlns:a16="http://schemas.microsoft.com/office/drawing/2014/main" id="{1CF7EB91-03C4-43DF-AB8A-B87F556DBBCA}"/>
            </a:ext>
          </a:extLst>
        </xdr:cNvPr>
        <xdr:cNvSpPr/>
      </xdr:nvSpPr>
      <xdr:spPr>
        <a:xfrm>
          <a:off x="14914423" y="6165272"/>
          <a:ext cx="3235032" cy="817419"/>
        </a:xfrm>
        <a:prstGeom prst="roundRect">
          <a:avLst/>
        </a:prstGeom>
        <a:solidFill>
          <a:schemeClr val="accent5">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latin typeface="Calibri" panose="020F0502020204030204" pitchFamily="34" charset="0"/>
              <a:ea typeface="Calibri" panose="020F0502020204030204" pitchFamily="34" charset="0"/>
              <a:cs typeface="Calibri" panose="020F0502020204030204" pitchFamily="34" charset="0"/>
            </a:rPr>
            <a:t>VIEW</a:t>
          </a:r>
          <a:r>
            <a:rPr lang="en-IN" sz="2000" baseline="0">
              <a:latin typeface="Calibri" panose="020F0502020204030204" pitchFamily="34" charset="0"/>
              <a:ea typeface="Calibri" panose="020F0502020204030204" pitchFamily="34" charset="0"/>
              <a:cs typeface="Calibri" panose="020F0502020204030204" pitchFamily="34" charset="0"/>
            </a:rPr>
            <a:t> RULES</a:t>
          </a:r>
          <a:endParaRPr lang="en-IN" sz="2000">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14</xdr:col>
      <xdr:colOff>526473</xdr:colOff>
      <xdr:row>33</xdr:row>
      <xdr:rowOff>13855</xdr:rowOff>
    </xdr:from>
    <xdr:to>
      <xdr:col>16</xdr:col>
      <xdr:colOff>478972</xdr:colOff>
      <xdr:row>38</xdr:row>
      <xdr:rowOff>32655</xdr:rowOff>
    </xdr:to>
    <xdr:sp macro="" textlink="">
      <xdr:nvSpPr>
        <xdr:cNvPr id="13" name="Rectangle: Rounded Corners 12">
          <a:hlinkClick xmlns:r="http://schemas.openxmlformats.org/officeDocument/2006/relationships" r:id="rId6"/>
          <a:extLst>
            <a:ext uri="{FF2B5EF4-FFF2-40B4-BE49-F238E27FC236}">
              <a16:creationId xmlns:a16="http://schemas.microsoft.com/office/drawing/2014/main" id="{779E9337-185E-4191-8F1F-9785456D0EB8}"/>
            </a:ext>
          </a:extLst>
        </xdr:cNvPr>
        <xdr:cNvSpPr/>
      </xdr:nvSpPr>
      <xdr:spPr>
        <a:xfrm>
          <a:off x="19715018" y="6137564"/>
          <a:ext cx="3776354" cy="85007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latin typeface="Calibri" panose="020F0502020204030204" pitchFamily="34" charset="0"/>
              <a:ea typeface="Calibri" panose="020F0502020204030204" pitchFamily="34" charset="0"/>
              <a:cs typeface="Calibri" panose="020F0502020204030204" pitchFamily="34" charset="0"/>
            </a:rPr>
            <a:t>DOCUMENTATION</a:t>
          </a:r>
        </a:p>
      </xdr:txBody>
    </xdr:sp>
    <xdr:clientData/>
  </xdr:twoCellAnchor>
  <xdr:twoCellAnchor>
    <xdr:from>
      <xdr:col>7</xdr:col>
      <xdr:colOff>334491</xdr:colOff>
      <xdr:row>33</xdr:row>
      <xdr:rowOff>83128</xdr:rowOff>
    </xdr:from>
    <xdr:to>
      <xdr:col>8</xdr:col>
      <xdr:colOff>1648691</xdr:colOff>
      <xdr:row>38</xdr:row>
      <xdr:rowOff>83129</xdr:rowOff>
    </xdr:to>
    <xdr:grpSp>
      <xdr:nvGrpSpPr>
        <xdr:cNvPr id="15" name="Group 14">
          <a:extLst>
            <a:ext uri="{FF2B5EF4-FFF2-40B4-BE49-F238E27FC236}">
              <a16:creationId xmlns:a16="http://schemas.microsoft.com/office/drawing/2014/main" id="{73D0F40B-2C57-DF27-28B6-7C799D7FA04F}"/>
            </a:ext>
          </a:extLst>
        </xdr:cNvPr>
        <xdr:cNvGrpSpPr/>
      </xdr:nvGrpSpPr>
      <xdr:grpSpPr>
        <a:xfrm>
          <a:off x="5031182" y="6303819"/>
          <a:ext cx="3226127" cy="831274"/>
          <a:chOff x="5031182" y="6206837"/>
          <a:chExt cx="3226127" cy="831274"/>
        </a:xfrm>
      </xdr:grpSpPr>
      <xdr:sp macro="" textlink="">
        <xdr:nvSpPr>
          <xdr:cNvPr id="11" name="Rectangle: Rounded Corners 10">
            <a:hlinkClick xmlns:r="http://schemas.openxmlformats.org/officeDocument/2006/relationships" r:id="rId7"/>
            <a:extLst>
              <a:ext uri="{FF2B5EF4-FFF2-40B4-BE49-F238E27FC236}">
                <a16:creationId xmlns:a16="http://schemas.microsoft.com/office/drawing/2014/main" id="{2C6BE808-FD6F-46C8-AF20-602E11C70339}"/>
              </a:ext>
            </a:extLst>
          </xdr:cNvPr>
          <xdr:cNvSpPr/>
        </xdr:nvSpPr>
        <xdr:spPr>
          <a:xfrm>
            <a:off x="5031182" y="6206837"/>
            <a:ext cx="3226127" cy="831274"/>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latin typeface="Calibri" panose="020F0502020204030204" pitchFamily="34" charset="0"/>
                <a:ea typeface="Calibri" panose="020F0502020204030204" pitchFamily="34" charset="0"/>
                <a:cs typeface="Calibri" panose="020F0502020204030204" pitchFamily="34" charset="0"/>
              </a:rPr>
              <a:t>BACK</a:t>
            </a:r>
            <a:r>
              <a:rPr lang="en-IN" sz="2000" baseline="0">
                <a:latin typeface="Calibri" panose="020F0502020204030204" pitchFamily="34" charset="0"/>
                <a:ea typeface="Calibri" panose="020F0502020204030204" pitchFamily="34" charset="0"/>
                <a:cs typeface="Calibri" panose="020F0502020204030204" pitchFamily="34" charset="0"/>
              </a:rPr>
              <a:t> TO CONFIG</a:t>
            </a:r>
            <a:endParaRPr lang="en-IN" sz="2000">
              <a:latin typeface="Calibri" panose="020F0502020204030204" pitchFamily="34" charset="0"/>
              <a:ea typeface="Calibri" panose="020F0502020204030204" pitchFamily="34" charset="0"/>
              <a:cs typeface="Calibri" panose="020F0502020204030204" pitchFamily="34" charset="0"/>
            </a:endParaRPr>
          </a:p>
        </xdr:txBody>
      </xdr:sp>
      <xdr:pic>
        <xdr:nvPicPr>
          <xdr:cNvPr id="14" name="Picture 13" descr="Back Icon PNG Images, Vectors Free Download - Pngtree">
            <a:extLst>
              <a:ext uri="{FF2B5EF4-FFF2-40B4-BE49-F238E27FC236}">
                <a16:creationId xmlns:a16="http://schemas.microsoft.com/office/drawing/2014/main" id="{97DA0C10-16D7-4159-A0DF-2BA43FAD01A2}"/>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10000" b="90000" l="10000" r="90000"/>
                    </a14:imgEffect>
                  </a14:imgLayer>
                </a14:imgProps>
              </a:ext>
              <a:ext uri="{28A0092B-C50C-407E-A947-70E740481C1C}">
                <a14:useLocalDpi xmlns:a14="http://schemas.microsoft.com/office/drawing/2010/main" val="0"/>
              </a:ext>
            </a:extLst>
          </a:blip>
          <a:srcRect/>
          <a:stretch>
            <a:fillRect/>
          </a:stretch>
        </xdr:blipFill>
        <xdr:spPr bwMode="auto">
          <a:xfrm>
            <a:off x="5250872" y="6414655"/>
            <a:ext cx="438561" cy="43030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243840</xdr:colOff>
      <xdr:row>2</xdr:row>
      <xdr:rowOff>45720</xdr:rowOff>
    </xdr:from>
    <xdr:to>
      <xdr:col>1</xdr:col>
      <xdr:colOff>1165860</xdr:colOff>
      <xdr:row>3</xdr:row>
      <xdr:rowOff>213360</xdr:rowOff>
    </xdr:to>
    <xdr:sp macro="[0]!RectangleRoundedRefresh" textlink="">
      <xdr:nvSpPr>
        <xdr:cNvPr id="2" name="Rectangle: Rounded Corners 1">
          <a:extLst>
            <a:ext uri="{FF2B5EF4-FFF2-40B4-BE49-F238E27FC236}">
              <a16:creationId xmlns:a16="http://schemas.microsoft.com/office/drawing/2014/main" id="{E2611BC9-EE64-616B-BA02-7D5962F4D753}"/>
            </a:ext>
          </a:extLst>
        </xdr:cNvPr>
        <xdr:cNvSpPr/>
      </xdr:nvSpPr>
      <xdr:spPr>
        <a:xfrm>
          <a:off x="243840" y="381000"/>
          <a:ext cx="1531620" cy="502920"/>
        </a:xfrm>
        <a:prstGeom prst="roundRect">
          <a:avLst/>
        </a:prstGeom>
        <a:solidFill>
          <a:schemeClr val="accent1"/>
        </a:solidFill>
        <a:ln>
          <a:gradFill flip="none" rotWithShape="1">
            <a:gsLst>
              <a:gs pos="0">
                <a:schemeClr val="accent6">
                  <a:lumMod val="40000"/>
                  <a:lumOff val="60000"/>
                </a:schemeClr>
              </a:gs>
              <a:gs pos="46000">
                <a:schemeClr val="accent6">
                  <a:lumMod val="95000"/>
                  <a:lumOff val="5000"/>
                </a:schemeClr>
              </a:gs>
              <a:gs pos="100000">
                <a:schemeClr val="accent6">
                  <a:lumMod val="60000"/>
                </a:schemeClr>
              </a:gs>
            </a:gsLst>
            <a:path path="circle">
              <a:fillToRect l="50000" t="130000" r="50000" b="-30000"/>
            </a:path>
            <a:tileRect/>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REFRESH</a:t>
          </a:r>
        </a:p>
      </xdr:txBody>
    </xdr:sp>
    <xdr:clientData/>
  </xdr:twoCellAnchor>
  <xdr:twoCellAnchor>
    <xdr:from>
      <xdr:col>2</xdr:col>
      <xdr:colOff>1</xdr:colOff>
      <xdr:row>4</xdr:row>
      <xdr:rowOff>35859</xdr:rowOff>
    </xdr:from>
    <xdr:to>
      <xdr:col>2</xdr:col>
      <xdr:colOff>188259</xdr:colOff>
      <xdr:row>4</xdr:row>
      <xdr:rowOff>573741</xdr:rowOff>
    </xdr:to>
    <xdr:sp macro="" textlink="">
      <xdr:nvSpPr>
        <xdr:cNvPr id="4" name="Rectangle: Rounded Corners 3">
          <a:extLst>
            <a:ext uri="{FF2B5EF4-FFF2-40B4-BE49-F238E27FC236}">
              <a16:creationId xmlns:a16="http://schemas.microsoft.com/office/drawing/2014/main" id="{150512BB-FC2D-0A7F-F560-DF923B86A0D9}"/>
            </a:ext>
          </a:extLst>
        </xdr:cNvPr>
        <xdr:cNvSpPr/>
      </xdr:nvSpPr>
      <xdr:spPr>
        <a:xfrm>
          <a:off x="2106707" y="1147483"/>
          <a:ext cx="188258" cy="537882"/>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1497101</xdr:colOff>
      <xdr:row>5</xdr:row>
      <xdr:rowOff>35859</xdr:rowOff>
    </xdr:from>
    <xdr:to>
      <xdr:col>3</xdr:col>
      <xdr:colOff>8965</xdr:colOff>
      <xdr:row>5</xdr:row>
      <xdr:rowOff>573741</xdr:rowOff>
    </xdr:to>
    <xdr:sp macro="" textlink="">
      <xdr:nvSpPr>
        <xdr:cNvPr id="7" name="Rectangle: Rounded Corners 6">
          <a:extLst>
            <a:ext uri="{FF2B5EF4-FFF2-40B4-BE49-F238E27FC236}">
              <a16:creationId xmlns:a16="http://schemas.microsoft.com/office/drawing/2014/main" id="{342349BE-6B3F-4B3F-940C-AAF1441BD4EA}"/>
            </a:ext>
          </a:extLst>
        </xdr:cNvPr>
        <xdr:cNvSpPr/>
      </xdr:nvSpPr>
      <xdr:spPr>
        <a:xfrm>
          <a:off x="2106701" y="1748118"/>
          <a:ext cx="206193" cy="537882"/>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1488141</xdr:colOff>
      <xdr:row>6</xdr:row>
      <xdr:rowOff>26895</xdr:rowOff>
    </xdr:from>
    <xdr:to>
      <xdr:col>2</xdr:col>
      <xdr:colOff>197222</xdr:colOff>
      <xdr:row>6</xdr:row>
      <xdr:rowOff>564777</xdr:rowOff>
    </xdr:to>
    <xdr:sp macro="" textlink="">
      <xdr:nvSpPr>
        <xdr:cNvPr id="8" name="Rectangle: Rounded Corners 7">
          <a:extLst>
            <a:ext uri="{FF2B5EF4-FFF2-40B4-BE49-F238E27FC236}">
              <a16:creationId xmlns:a16="http://schemas.microsoft.com/office/drawing/2014/main" id="{65AC519A-D48B-4130-821D-126E92405307}"/>
            </a:ext>
          </a:extLst>
        </xdr:cNvPr>
        <xdr:cNvSpPr/>
      </xdr:nvSpPr>
      <xdr:spPr>
        <a:xfrm>
          <a:off x="2097741" y="2339789"/>
          <a:ext cx="206187" cy="537882"/>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xdr:colOff>
      <xdr:row>7</xdr:row>
      <xdr:rowOff>44824</xdr:rowOff>
    </xdr:from>
    <xdr:to>
      <xdr:col>2</xdr:col>
      <xdr:colOff>188259</xdr:colOff>
      <xdr:row>7</xdr:row>
      <xdr:rowOff>582706</xdr:rowOff>
    </xdr:to>
    <xdr:sp macro="" textlink="">
      <xdr:nvSpPr>
        <xdr:cNvPr id="9" name="Rectangle: Rounded Corners 8">
          <a:extLst>
            <a:ext uri="{FF2B5EF4-FFF2-40B4-BE49-F238E27FC236}">
              <a16:creationId xmlns:a16="http://schemas.microsoft.com/office/drawing/2014/main" id="{12FD408C-B39B-4E8F-AC7A-25D605EB6255}"/>
            </a:ext>
          </a:extLst>
        </xdr:cNvPr>
        <xdr:cNvSpPr/>
      </xdr:nvSpPr>
      <xdr:spPr>
        <a:xfrm>
          <a:off x="2106707" y="2958353"/>
          <a:ext cx="188258" cy="537882"/>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331695</xdr:colOff>
      <xdr:row>4</xdr:row>
      <xdr:rowOff>89647</xdr:rowOff>
    </xdr:from>
    <xdr:to>
      <xdr:col>9</xdr:col>
      <xdr:colOff>331695</xdr:colOff>
      <xdr:row>15</xdr:row>
      <xdr:rowOff>8965</xdr:rowOff>
    </xdr:to>
    <xdr:cxnSp macro="">
      <xdr:nvCxnSpPr>
        <xdr:cNvPr id="3" name="Straight Connector 2">
          <a:extLst>
            <a:ext uri="{FF2B5EF4-FFF2-40B4-BE49-F238E27FC236}">
              <a16:creationId xmlns:a16="http://schemas.microsoft.com/office/drawing/2014/main" id="{97E3EE2C-58ED-9525-EA8E-2A916184570D}"/>
            </a:ext>
          </a:extLst>
        </xdr:cNvPr>
        <xdr:cNvCxnSpPr/>
      </xdr:nvCxnSpPr>
      <xdr:spPr>
        <a:xfrm>
          <a:off x="5208495" y="618565"/>
          <a:ext cx="0" cy="1792941"/>
        </a:xfrm>
        <a:prstGeom prst="lin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331694</xdr:colOff>
      <xdr:row>5</xdr:row>
      <xdr:rowOff>0</xdr:rowOff>
    </xdr:from>
    <xdr:to>
      <xdr:col>9</xdr:col>
      <xdr:colOff>340659</xdr:colOff>
      <xdr:row>15</xdr:row>
      <xdr:rowOff>8965</xdr:rowOff>
    </xdr:to>
    <xdr:cxnSp macro="">
      <xdr:nvCxnSpPr>
        <xdr:cNvPr id="5" name="Straight Connector 4">
          <a:extLst>
            <a:ext uri="{FF2B5EF4-FFF2-40B4-BE49-F238E27FC236}">
              <a16:creationId xmlns:a16="http://schemas.microsoft.com/office/drawing/2014/main" id="{2FE29B64-5554-C189-F5E3-A6DFFAC3FE6E}"/>
            </a:ext>
          </a:extLst>
        </xdr:cNvPr>
        <xdr:cNvCxnSpPr/>
      </xdr:nvCxnSpPr>
      <xdr:spPr>
        <a:xfrm>
          <a:off x="5208494" y="699247"/>
          <a:ext cx="8965" cy="1712259"/>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14</xdr:col>
      <xdr:colOff>340658</xdr:colOff>
      <xdr:row>21</xdr:row>
      <xdr:rowOff>62752</xdr:rowOff>
    </xdr:from>
    <xdr:to>
      <xdr:col>15</xdr:col>
      <xdr:colOff>406101</xdr:colOff>
      <xdr:row>24</xdr:row>
      <xdr:rowOff>107574</xdr:rowOff>
    </xdr:to>
    <xdr:sp macro="[0]!storenewcomp22" textlink="">
      <xdr:nvSpPr>
        <xdr:cNvPr id="8" name="Rectangle: Rounded Corners 7">
          <a:extLst>
            <a:ext uri="{FF2B5EF4-FFF2-40B4-BE49-F238E27FC236}">
              <a16:creationId xmlns:a16="http://schemas.microsoft.com/office/drawing/2014/main" id="{A1BBCE34-5D96-F8AF-1E05-7293DB0BA943}"/>
            </a:ext>
          </a:extLst>
        </xdr:cNvPr>
        <xdr:cNvSpPr/>
      </xdr:nvSpPr>
      <xdr:spPr>
        <a:xfrm>
          <a:off x="8875058" y="3666564"/>
          <a:ext cx="2028714" cy="555810"/>
        </a:xfrm>
        <a:prstGeom prst="roundRect">
          <a:avLst>
            <a:gd name="adj" fmla="val 37006"/>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aseline="0"/>
            <a:t>       </a:t>
          </a:r>
          <a:r>
            <a:rPr lang="en-IN" sz="1800"/>
            <a:t>Save </a:t>
          </a:r>
        </a:p>
      </xdr:txBody>
    </xdr:sp>
    <xdr:clientData/>
  </xdr:twoCellAnchor>
  <xdr:twoCellAnchor>
    <xdr:from>
      <xdr:col>14</xdr:col>
      <xdr:colOff>743346</xdr:colOff>
      <xdr:row>22</xdr:row>
      <xdr:rowOff>35858</xdr:rowOff>
    </xdr:from>
    <xdr:to>
      <xdr:col>14</xdr:col>
      <xdr:colOff>1046627</xdr:colOff>
      <xdr:row>23</xdr:row>
      <xdr:rowOff>120490</xdr:rowOff>
    </xdr:to>
    <xdr:pic macro="[0]!storenewcomp22">
      <xdr:nvPicPr>
        <xdr:cNvPr id="9" name="Picture 8">
          <a:extLst>
            <a:ext uri="{FF2B5EF4-FFF2-40B4-BE49-F238E27FC236}">
              <a16:creationId xmlns:a16="http://schemas.microsoft.com/office/drawing/2014/main" id="{4E9B18B9-32EC-172F-1550-D18ABB54F24F}"/>
            </a:ext>
          </a:extLst>
        </xdr:cNvPr>
        <xdr:cNvPicPr>
          <a:picLocks noChangeAspect="1"/>
        </xdr:cNvPicPr>
      </xdr:nvPicPr>
      <xdr:blipFill>
        <a:blip xmlns:r="http://schemas.openxmlformats.org/officeDocument/2006/relationships" r:embed="rId1"/>
        <a:stretch>
          <a:fillRect/>
        </a:stretch>
      </xdr:blipFill>
      <xdr:spPr>
        <a:xfrm>
          <a:off x="9277746" y="3809999"/>
          <a:ext cx="303281" cy="254962"/>
        </a:xfrm>
        <a:prstGeom prst="rect">
          <a:avLst/>
        </a:prstGeom>
        <a:effectLst>
          <a:outerShdw blurRad="50800" dist="50800" dir="5400000" sx="109000" sy="109000" algn="ctr" rotWithShape="0">
            <a:schemeClr val="bg1"/>
          </a:outerShdw>
        </a:effectLst>
        <a:scene3d>
          <a:camera prst="orthographicFront"/>
          <a:lightRig rig="threePt" dir="t"/>
        </a:scene3d>
        <a:sp3d contourW="12700">
          <a:contourClr>
            <a:schemeClr val="bg1"/>
          </a:contourClr>
        </a:sp3d>
      </xdr:spPr>
    </xdr:pic>
    <xdr:clientData/>
  </xdr:twoCellAnchor>
  <xdr:twoCellAnchor>
    <xdr:from>
      <xdr:col>14</xdr:col>
      <xdr:colOff>403412</xdr:colOff>
      <xdr:row>26</xdr:row>
      <xdr:rowOff>53788</xdr:rowOff>
    </xdr:from>
    <xdr:to>
      <xdr:col>15</xdr:col>
      <xdr:colOff>430306</xdr:colOff>
      <xdr:row>29</xdr:row>
      <xdr:rowOff>152399</xdr:rowOff>
    </xdr:to>
    <xdr:sp macro="" textlink="">
      <xdr:nvSpPr>
        <xdr:cNvPr id="2" name="Rectangle: Rounded Corners 1">
          <a:hlinkClick xmlns:r="http://schemas.openxmlformats.org/officeDocument/2006/relationships" r:id="rId2"/>
          <a:extLst>
            <a:ext uri="{FF2B5EF4-FFF2-40B4-BE49-F238E27FC236}">
              <a16:creationId xmlns:a16="http://schemas.microsoft.com/office/drawing/2014/main" id="{CE28784A-B0B6-FC81-D1D1-9508079C68C3}"/>
            </a:ext>
          </a:extLst>
        </xdr:cNvPr>
        <xdr:cNvSpPr/>
      </xdr:nvSpPr>
      <xdr:spPr>
        <a:xfrm>
          <a:off x="8937812" y="4509247"/>
          <a:ext cx="1990165" cy="609599"/>
        </a:xfrm>
        <a:prstGeom prst="roundRect">
          <a:avLst>
            <a:gd name="adj" fmla="val 40196"/>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l"/>
          <a:r>
            <a:rPr lang="en-IN" sz="1600">
              <a:solidFill>
                <a:schemeClr val="lt1"/>
              </a:solidFill>
              <a:latin typeface="+mn-lt"/>
              <a:ea typeface="+mn-ea"/>
              <a:cs typeface="+mn-cs"/>
            </a:rPr>
            <a:t>         View</a:t>
          </a:r>
          <a:r>
            <a:rPr lang="en-IN" sz="1600" baseline="0">
              <a:solidFill>
                <a:schemeClr val="lt1"/>
              </a:solidFill>
              <a:latin typeface="+mn-lt"/>
              <a:ea typeface="+mn-ea"/>
              <a:cs typeface="+mn-cs"/>
            </a:rPr>
            <a:t> Rules</a:t>
          </a:r>
        </a:p>
      </xdr:txBody>
    </xdr:sp>
    <xdr:clientData/>
  </xdr:twoCellAnchor>
  <xdr:twoCellAnchor editAs="oneCell">
    <xdr:from>
      <xdr:col>14</xdr:col>
      <xdr:colOff>502920</xdr:colOff>
      <xdr:row>26</xdr:row>
      <xdr:rowOff>152400</xdr:rowOff>
    </xdr:from>
    <xdr:to>
      <xdr:col>14</xdr:col>
      <xdr:colOff>929640</xdr:colOff>
      <xdr:row>29</xdr:row>
      <xdr:rowOff>67235</xdr:rowOff>
    </xdr:to>
    <xdr:pic>
      <xdr:nvPicPr>
        <xdr:cNvPr id="6" name="Graphic 5" descr="Eye with solid fill">
          <a:extLst>
            <a:ext uri="{FF2B5EF4-FFF2-40B4-BE49-F238E27FC236}">
              <a16:creationId xmlns:a16="http://schemas.microsoft.com/office/drawing/2014/main" id="{8BDA9C1B-7924-255D-1651-7228D882FA6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9037320" y="4533900"/>
          <a:ext cx="426720" cy="426720"/>
        </a:xfrm>
        <a:prstGeom prst="rect">
          <a:avLst/>
        </a:prstGeom>
      </xdr:spPr>
    </xdr:pic>
    <xdr:clientData/>
  </xdr:twoCellAnchor>
  <xdr:twoCellAnchor>
    <xdr:from>
      <xdr:col>0</xdr:col>
      <xdr:colOff>76202</xdr:colOff>
      <xdr:row>0</xdr:row>
      <xdr:rowOff>137160</xdr:rowOff>
    </xdr:from>
    <xdr:to>
      <xdr:col>1</xdr:col>
      <xdr:colOff>542367</xdr:colOff>
      <xdr:row>4</xdr:row>
      <xdr:rowOff>17034</xdr:rowOff>
    </xdr:to>
    <xdr:grpSp>
      <xdr:nvGrpSpPr>
        <xdr:cNvPr id="15" name="Group 14">
          <a:extLst>
            <a:ext uri="{FF2B5EF4-FFF2-40B4-BE49-F238E27FC236}">
              <a16:creationId xmlns:a16="http://schemas.microsoft.com/office/drawing/2014/main" id="{200DB5B3-F398-44D1-981B-0FA010792D41}"/>
            </a:ext>
          </a:extLst>
        </xdr:cNvPr>
        <xdr:cNvGrpSpPr/>
      </xdr:nvGrpSpPr>
      <xdr:grpSpPr>
        <a:xfrm>
          <a:off x="76202" y="137160"/>
          <a:ext cx="2131679" cy="587445"/>
          <a:chOff x="89648" y="179294"/>
          <a:chExt cx="1828800" cy="600636"/>
        </a:xfrm>
      </xdr:grpSpPr>
      <xdr:sp macro="" textlink="">
        <xdr:nvSpPr>
          <xdr:cNvPr id="16" name="Rectangle: Top Corners Rounded 15">
            <a:hlinkClick xmlns:r="http://schemas.openxmlformats.org/officeDocument/2006/relationships" r:id="rId5"/>
            <a:extLst>
              <a:ext uri="{FF2B5EF4-FFF2-40B4-BE49-F238E27FC236}">
                <a16:creationId xmlns:a16="http://schemas.microsoft.com/office/drawing/2014/main" id="{808A60C7-54D7-49FA-FD26-712CCD206808}"/>
              </a:ext>
            </a:extLst>
          </xdr:cNvPr>
          <xdr:cNvSpPr/>
        </xdr:nvSpPr>
        <xdr:spPr>
          <a:xfrm>
            <a:off x="89648" y="179294"/>
            <a:ext cx="1828800" cy="600636"/>
          </a:xfrm>
          <a:prstGeom prst="round2Same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t>BACK</a:t>
            </a:r>
          </a:p>
        </xdr:txBody>
      </xdr:sp>
      <xdr:pic>
        <xdr:nvPicPr>
          <xdr:cNvPr id="17" name="Picture 16" descr="Back Icon PNG Images, Vectors Free Download - Pngtree">
            <a:extLst>
              <a:ext uri="{FF2B5EF4-FFF2-40B4-BE49-F238E27FC236}">
                <a16:creationId xmlns:a16="http://schemas.microsoft.com/office/drawing/2014/main" id="{F2B2D002-FFF1-4563-1715-8E05A543632D}"/>
              </a:ext>
            </a:extLst>
          </xdr:cNvPr>
          <xdr:cNvPicPr>
            <a:picLocks noChangeAspect="1" noChangeArrowheads="1"/>
          </xdr:cNvPicPr>
        </xdr:nvPicPr>
        <xdr:blipFill>
          <a:blip xmlns:r="http://schemas.openxmlformats.org/officeDocument/2006/relationships" r:embed="rId6" cstate="print">
            <a:extLst>
              <a:ext uri="{BEBA8EAE-BF5A-486C-A8C5-ECC9F3942E4B}">
                <a14:imgProps xmlns:a14="http://schemas.microsoft.com/office/drawing/2010/main">
                  <a14:imgLayer r:embed="rId7">
                    <a14:imgEffect>
                      <a14:backgroundRemoval t="10000" b="90000" l="10000" r="90000"/>
                    </a14:imgEffect>
                  </a14:imgLayer>
                </a14:imgProps>
              </a:ext>
              <a:ext uri="{28A0092B-C50C-407E-A947-70E740481C1C}">
                <a14:useLocalDpi xmlns:a14="http://schemas.microsoft.com/office/drawing/2010/main" val="0"/>
              </a:ext>
            </a:extLst>
          </a:blip>
          <a:srcRect/>
          <a:stretch>
            <a:fillRect/>
          </a:stretch>
        </xdr:blipFill>
        <xdr:spPr bwMode="auto">
          <a:xfrm>
            <a:off x="199289" y="259976"/>
            <a:ext cx="438561" cy="43030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0</xdr:col>
      <xdr:colOff>76200</xdr:colOff>
      <xdr:row>5</xdr:row>
      <xdr:rowOff>115196</xdr:rowOff>
    </xdr:from>
    <xdr:to>
      <xdr:col>1</xdr:col>
      <xdr:colOff>542365</xdr:colOff>
      <xdr:row>8</xdr:row>
      <xdr:rowOff>177950</xdr:rowOff>
    </xdr:to>
    <xdr:sp macro="" textlink="">
      <xdr:nvSpPr>
        <xdr:cNvPr id="18" name="Rectangle: Rounded Corners 17">
          <a:hlinkClick xmlns:r="http://schemas.openxmlformats.org/officeDocument/2006/relationships" r:id="rId8"/>
          <a:extLst>
            <a:ext uri="{FF2B5EF4-FFF2-40B4-BE49-F238E27FC236}">
              <a16:creationId xmlns:a16="http://schemas.microsoft.com/office/drawing/2014/main" id="{5A269F45-30C7-4AED-895D-BCC30F05964B}"/>
            </a:ext>
          </a:extLst>
        </xdr:cNvPr>
        <xdr:cNvSpPr/>
      </xdr:nvSpPr>
      <xdr:spPr>
        <a:xfrm>
          <a:off x="76200" y="1006736"/>
          <a:ext cx="2134945" cy="611394"/>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IN" sz="1200" b="1"/>
            <a:t>FUNDS</a:t>
          </a:r>
        </a:p>
      </xdr:txBody>
    </xdr:sp>
    <xdr:clientData/>
  </xdr:twoCellAnchor>
  <xdr:twoCellAnchor>
    <xdr:from>
      <xdr:col>0</xdr:col>
      <xdr:colOff>69925</xdr:colOff>
      <xdr:row>10</xdr:row>
      <xdr:rowOff>170329</xdr:rowOff>
    </xdr:from>
    <xdr:to>
      <xdr:col>1</xdr:col>
      <xdr:colOff>536090</xdr:colOff>
      <xdr:row>14</xdr:row>
      <xdr:rowOff>50202</xdr:rowOff>
    </xdr:to>
    <xdr:sp macro="" textlink="">
      <xdr:nvSpPr>
        <xdr:cNvPr id="19" name="Rectangle: Rounded Corners 18">
          <a:hlinkClick xmlns:r="http://schemas.openxmlformats.org/officeDocument/2006/relationships" r:id="rId9"/>
          <a:extLst>
            <a:ext uri="{FF2B5EF4-FFF2-40B4-BE49-F238E27FC236}">
              <a16:creationId xmlns:a16="http://schemas.microsoft.com/office/drawing/2014/main" id="{B207077F-F90E-4467-B48F-DAA4E4C5D3BB}"/>
            </a:ext>
          </a:extLst>
        </xdr:cNvPr>
        <xdr:cNvSpPr/>
      </xdr:nvSpPr>
      <xdr:spPr>
        <a:xfrm>
          <a:off x="69925" y="1976269"/>
          <a:ext cx="2134945" cy="61139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SUMMARY</a:t>
          </a:r>
        </a:p>
      </xdr:txBody>
    </xdr:sp>
    <xdr:clientData/>
  </xdr:twoCellAnchor>
  <xdr:twoCellAnchor>
    <xdr:from>
      <xdr:col>0</xdr:col>
      <xdr:colOff>60961</xdr:colOff>
      <xdr:row>16</xdr:row>
      <xdr:rowOff>26445</xdr:rowOff>
    </xdr:from>
    <xdr:to>
      <xdr:col>1</xdr:col>
      <xdr:colOff>527126</xdr:colOff>
      <xdr:row>19</xdr:row>
      <xdr:rowOff>92785</xdr:rowOff>
    </xdr:to>
    <xdr:sp macro="" textlink="">
      <xdr:nvSpPr>
        <xdr:cNvPr id="20" name="Rectangle: Rounded Corners 19">
          <a:hlinkClick xmlns:r="http://schemas.openxmlformats.org/officeDocument/2006/relationships" r:id="rId10"/>
          <a:extLst>
            <a:ext uri="{FF2B5EF4-FFF2-40B4-BE49-F238E27FC236}">
              <a16:creationId xmlns:a16="http://schemas.microsoft.com/office/drawing/2014/main" id="{21FB946F-B137-4C15-87E5-A41E13023747}"/>
            </a:ext>
          </a:extLst>
        </xdr:cNvPr>
        <xdr:cNvSpPr/>
      </xdr:nvSpPr>
      <xdr:spPr>
        <a:xfrm>
          <a:off x="60961" y="2929665"/>
          <a:ext cx="2134945" cy="61498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IN" sz="1200" b="1"/>
            <a:t>DATA</a:t>
          </a:r>
          <a:r>
            <a:rPr lang="en-IN" sz="1200" b="1" baseline="0"/>
            <a:t> DOCUMENTATION</a:t>
          </a:r>
          <a:endParaRPr lang="en-IN" sz="1200" b="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69273</xdr:colOff>
      <xdr:row>0</xdr:row>
      <xdr:rowOff>681317</xdr:rowOff>
    </xdr:to>
    <xdr:grpSp>
      <xdr:nvGrpSpPr>
        <xdr:cNvPr id="2" name="Group 1">
          <a:extLst>
            <a:ext uri="{FF2B5EF4-FFF2-40B4-BE49-F238E27FC236}">
              <a16:creationId xmlns:a16="http://schemas.microsoft.com/office/drawing/2014/main" id="{021F8489-C5B3-882E-C0ED-3F58B68FAFE4}"/>
            </a:ext>
          </a:extLst>
        </xdr:cNvPr>
        <xdr:cNvGrpSpPr/>
      </xdr:nvGrpSpPr>
      <xdr:grpSpPr>
        <a:xfrm>
          <a:off x="0" y="0"/>
          <a:ext cx="23372618" cy="681317"/>
          <a:chOff x="0" y="0"/>
          <a:chExt cx="19521923" cy="681317"/>
        </a:xfrm>
      </xdr:grpSpPr>
      <xdr:pic>
        <xdr:nvPicPr>
          <xdr:cNvPr id="3" name="Picture 2">
            <a:extLst>
              <a:ext uri="{FF2B5EF4-FFF2-40B4-BE49-F238E27FC236}">
                <a16:creationId xmlns:a16="http://schemas.microsoft.com/office/drawing/2014/main" id="{A6230627-5188-A24B-9262-3E3F86CAEC8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8964"/>
            <a:ext cx="19521923" cy="672353"/>
          </a:xfrm>
          <a:prstGeom prst="rect">
            <a:avLst/>
          </a:prstGeom>
        </xdr:spPr>
      </xdr:pic>
      <xdr:pic>
        <xdr:nvPicPr>
          <xdr:cNvPr id="4" name="Picture 3">
            <a:extLst>
              <a:ext uri="{FF2B5EF4-FFF2-40B4-BE49-F238E27FC236}">
                <a16:creationId xmlns:a16="http://schemas.microsoft.com/office/drawing/2014/main" id="{E142D883-A211-5F47-8B89-826DC6775749}"/>
              </a:ext>
            </a:extLst>
          </xdr:cNvPr>
          <xdr:cNvPicPr>
            <a:picLocks noChangeAspect="1"/>
          </xdr:cNvPicPr>
        </xdr:nvPicPr>
        <xdr:blipFill>
          <a:blip xmlns:r="http://schemas.openxmlformats.org/officeDocument/2006/relationships" r:embed="rId2"/>
          <a:stretch>
            <a:fillRect/>
          </a:stretch>
        </xdr:blipFill>
        <xdr:spPr>
          <a:xfrm>
            <a:off x="0" y="0"/>
            <a:ext cx="2070567" cy="663388"/>
          </a:xfrm>
          <a:prstGeom prst="rect">
            <a:avLst/>
          </a:prstGeom>
        </xdr:spPr>
      </xdr:pic>
    </xdr:grpSp>
    <xdr:clientData/>
  </xdr:twoCellAnchor>
  <xdr:twoCellAnchor editAs="oneCell">
    <xdr:from>
      <xdr:col>5</xdr:col>
      <xdr:colOff>2302024</xdr:colOff>
      <xdr:row>0</xdr:row>
      <xdr:rowOff>203200</xdr:rowOff>
    </xdr:from>
    <xdr:to>
      <xdr:col>5</xdr:col>
      <xdr:colOff>4739397</xdr:colOff>
      <xdr:row>1</xdr:row>
      <xdr:rowOff>68580</xdr:rowOff>
    </xdr:to>
    <xdr:pic>
      <xdr:nvPicPr>
        <xdr:cNvPr id="5" name="Picture 4">
          <a:extLst>
            <a:ext uri="{FF2B5EF4-FFF2-40B4-BE49-F238E27FC236}">
              <a16:creationId xmlns:a16="http://schemas.microsoft.com/office/drawing/2014/main" id="{79066B2F-0EDA-C842-8BD9-598906FD654A}"/>
            </a:ext>
          </a:extLst>
        </xdr:cNvPr>
        <xdr:cNvPicPr>
          <a:picLocks noChangeAspect="1"/>
        </xdr:cNvPicPr>
      </xdr:nvPicPr>
      <xdr:blipFill>
        <a:blip xmlns:r="http://schemas.openxmlformats.org/officeDocument/2006/relationships" r:embed="rId3"/>
        <a:stretch>
          <a:fillRect/>
        </a:stretch>
      </xdr:blipFill>
      <xdr:spPr>
        <a:xfrm>
          <a:off x="16932424" y="203200"/>
          <a:ext cx="2457613" cy="558800"/>
        </a:xfrm>
        <a:prstGeom prst="rect">
          <a:avLst/>
        </a:prstGeom>
      </xdr:spPr>
    </xdr:pic>
    <xdr:clientData/>
  </xdr:twoCellAnchor>
  <xdr:twoCellAnchor>
    <xdr:from>
      <xdr:col>0</xdr:col>
      <xdr:colOff>0</xdr:colOff>
      <xdr:row>16</xdr:row>
      <xdr:rowOff>1</xdr:rowOff>
    </xdr:from>
    <xdr:to>
      <xdr:col>5</xdr:col>
      <xdr:colOff>2867890</xdr:colOff>
      <xdr:row>23</xdr:row>
      <xdr:rowOff>69274</xdr:rowOff>
    </xdr:to>
    <xdr:sp macro="" textlink="">
      <xdr:nvSpPr>
        <xdr:cNvPr id="14" name="Rectangle 13">
          <a:extLst>
            <a:ext uri="{FF2B5EF4-FFF2-40B4-BE49-F238E27FC236}">
              <a16:creationId xmlns:a16="http://schemas.microsoft.com/office/drawing/2014/main" id="{175CFB01-8A69-C35E-CBE8-5DFCE474E988}"/>
            </a:ext>
          </a:extLst>
        </xdr:cNvPr>
        <xdr:cNvSpPr/>
      </xdr:nvSpPr>
      <xdr:spPr>
        <a:xfrm>
          <a:off x="0" y="7301346"/>
          <a:ext cx="12233563" cy="1330037"/>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4</xdr:col>
      <xdr:colOff>2959982</xdr:colOff>
      <xdr:row>17</xdr:row>
      <xdr:rowOff>176563</xdr:rowOff>
    </xdr:from>
    <xdr:to>
      <xdr:col>5</xdr:col>
      <xdr:colOff>1174090</xdr:colOff>
      <xdr:row>21</xdr:row>
      <xdr:rowOff>67520</xdr:rowOff>
    </xdr:to>
    <xdr:sp macro="" textlink="">
      <xdr:nvSpPr>
        <xdr:cNvPr id="10" name="Rectangle: Rounded Corners 9">
          <a:hlinkClick xmlns:r="http://schemas.openxmlformats.org/officeDocument/2006/relationships" r:id="rId4"/>
          <a:extLst>
            <a:ext uri="{FF2B5EF4-FFF2-40B4-BE49-F238E27FC236}">
              <a16:creationId xmlns:a16="http://schemas.microsoft.com/office/drawing/2014/main" id="{77D13A8F-682C-49AD-8F4E-97ACDE986C4D}"/>
            </a:ext>
          </a:extLst>
        </xdr:cNvPr>
        <xdr:cNvSpPr/>
      </xdr:nvSpPr>
      <xdr:spPr>
        <a:xfrm>
          <a:off x="8404818" y="7658018"/>
          <a:ext cx="2134945" cy="61139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SUMMARY</a:t>
          </a:r>
        </a:p>
      </xdr:txBody>
    </xdr:sp>
    <xdr:clientData/>
  </xdr:twoCellAnchor>
  <xdr:twoCellAnchor>
    <xdr:from>
      <xdr:col>2</xdr:col>
      <xdr:colOff>872836</xdr:colOff>
      <xdr:row>17</xdr:row>
      <xdr:rowOff>173996</xdr:rowOff>
    </xdr:from>
    <xdr:to>
      <xdr:col>3</xdr:col>
      <xdr:colOff>1289817</xdr:colOff>
      <xdr:row>21</xdr:row>
      <xdr:rowOff>68540</xdr:rowOff>
    </xdr:to>
    <xdr:sp macro="" textlink="">
      <xdr:nvSpPr>
        <xdr:cNvPr id="11" name="Rectangle: Rounded Corners 10">
          <a:hlinkClick xmlns:r="http://schemas.openxmlformats.org/officeDocument/2006/relationships" r:id="rId5"/>
          <a:extLst>
            <a:ext uri="{FF2B5EF4-FFF2-40B4-BE49-F238E27FC236}">
              <a16:creationId xmlns:a16="http://schemas.microsoft.com/office/drawing/2014/main" id="{155835EB-CC2B-4CAD-94B4-EC8AF275272F}"/>
            </a:ext>
          </a:extLst>
        </xdr:cNvPr>
        <xdr:cNvSpPr/>
      </xdr:nvSpPr>
      <xdr:spPr>
        <a:xfrm>
          <a:off x="2881745" y="7655451"/>
          <a:ext cx="2134945" cy="61498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IN" sz="1200" b="1"/>
            <a:t>DATA</a:t>
          </a:r>
          <a:r>
            <a:rPr lang="en-IN" sz="1200" b="1" baseline="0"/>
            <a:t> DOCUMENTATION</a:t>
          </a:r>
          <a:endParaRPr lang="en-IN" sz="1200" b="1"/>
        </a:p>
      </xdr:txBody>
    </xdr:sp>
    <xdr:clientData/>
  </xdr:twoCellAnchor>
  <xdr:twoCellAnchor>
    <xdr:from>
      <xdr:col>4</xdr:col>
      <xdr:colOff>221671</xdr:colOff>
      <xdr:row>18</xdr:row>
      <xdr:rowOff>7741</xdr:rowOff>
    </xdr:from>
    <xdr:to>
      <xdr:col>4</xdr:col>
      <xdr:colOff>2356616</xdr:colOff>
      <xdr:row>21</xdr:row>
      <xdr:rowOff>82394</xdr:rowOff>
    </xdr:to>
    <xdr:sp macro="" textlink="">
      <xdr:nvSpPr>
        <xdr:cNvPr id="12" name="Rectangle: Rounded Corners 11">
          <a:hlinkClick xmlns:r="http://schemas.openxmlformats.org/officeDocument/2006/relationships" r:id="rId6"/>
          <a:extLst>
            <a:ext uri="{FF2B5EF4-FFF2-40B4-BE49-F238E27FC236}">
              <a16:creationId xmlns:a16="http://schemas.microsoft.com/office/drawing/2014/main" id="{F7B47B02-B633-4CB6-B560-02F55EEBF140}"/>
            </a:ext>
          </a:extLst>
        </xdr:cNvPr>
        <xdr:cNvSpPr/>
      </xdr:nvSpPr>
      <xdr:spPr>
        <a:xfrm>
          <a:off x="5666507" y="7669305"/>
          <a:ext cx="2134945" cy="614980"/>
        </a:xfrm>
        <a:prstGeom prst="roundRect">
          <a:avLst/>
        </a:prstGeom>
        <a:solidFill>
          <a:srgbClr val="251189"/>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IN" sz="1200" b="1"/>
            <a:t>ADD</a:t>
          </a:r>
          <a:r>
            <a:rPr lang="en-IN" sz="1200" b="1" baseline="0"/>
            <a:t> NEW RULE </a:t>
          </a:r>
          <a:endParaRPr lang="en-IN" sz="1200" b="1"/>
        </a:p>
      </xdr:txBody>
    </xdr:sp>
    <xdr:clientData/>
  </xdr:twoCellAnchor>
  <xdr:twoCellAnchor>
    <xdr:from>
      <xdr:col>0</xdr:col>
      <xdr:colOff>124692</xdr:colOff>
      <xdr:row>18</xdr:row>
      <xdr:rowOff>13854</xdr:rowOff>
    </xdr:from>
    <xdr:to>
      <xdr:col>2</xdr:col>
      <xdr:colOff>247462</xdr:colOff>
      <xdr:row>21</xdr:row>
      <xdr:rowOff>60972</xdr:rowOff>
    </xdr:to>
    <xdr:grpSp>
      <xdr:nvGrpSpPr>
        <xdr:cNvPr id="19" name="Group 18">
          <a:hlinkClick xmlns:r="http://schemas.openxmlformats.org/officeDocument/2006/relationships" r:id="rId7"/>
          <a:extLst>
            <a:ext uri="{FF2B5EF4-FFF2-40B4-BE49-F238E27FC236}">
              <a16:creationId xmlns:a16="http://schemas.microsoft.com/office/drawing/2014/main" id="{213D3AC2-7514-4C5C-A869-416F391B5AE1}"/>
            </a:ext>
          </a:extLst>
        </xdr:cNvPr>
        <xdr:cNvGrpSpPr/>
      </xdr:nvGrpSpPr>
      <xdr:grpSpPr>
        <a:xfrm>
          <a:off x="124692" y="7675418"/>
          <a:ext cx="2131679" cy="587445"/>
          <a:chOff x="89648" y="179294"/>
          <a:chExt cx="1828800" cy="600636"/>
        </a:xfrm>
      </xdr:grpSpPr>
      <xdr:sp macro="" textlink="">
        <xdr:nvSpPr>
          <xdr:cNvPr id="20" name="Rectangle: Top Corners Rounded 19">
            <a:hlinkClick xmlns:r="http://schemas.openxmlformats.org/officeDocument/2006/relationships" r:id="rId7"/>
            <a:extLst>
              <a:ext uri="{FF2B5EF4-FFF2-40B4-BE49-F238E27FC236}">
                <a16:creationId xmlns:a16="http://schemas.microsoft.com/office/drawing/2014/main" id="{B985ABCC-64E3-E39A-C111-EB9DA2D5F88B}"/>
              </a:ext>
            </a:extLst>
          </xdr:cNvPr>
          <xdr:cNvSpPr/>
        </xdr:nvSpPr>
        <xdr:spPr>
          <a:xfrm>
            <a:off x="89648" y="179294"/>
            <a:ext cx="1828800" cy="600636"/>
          </a:xfrm>
          <a:prstGeom prst="round2Same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t>BACK</a:t>
            </a:r>
          </a:p>
        </xdr:txBody>
      </xdr:sp>
      <xdr:pic>
        <xdr:nvPicPr>
          <xdr:cNvPr id="21" name="Picture 20" descr="Back Icon PNG Images, Vectors Free Download - Pngtree">
            <a:extLst>
              <a:ext uri="{FF2B5EF4-FFF2-40B4-BE49-F238E27FC236}">
                <a16:creationId xmlns:a16="http://schemas.microsoft.com/office/drawing/2014/main" id="{94311A7F-9A67-0BAB-DF8E-55B29C0BE244}"/>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10000" b="90000" l="10000" r="90000"/>
                    </a14:imgEffect>
                  </a14:imgLayer>
                </a14:imgProps>
              </a:ext>
              <a:ext uri="{28A0092B-C50C-407E-A947-70E740481C1C}">
                <a14:useLocalDpi xmlns:a14="http://schemas.microsoft.com/office/drawing/2010/main" val="0"/>
              </a:ext>
            </a:extLst>
          </a:blip>
          <a:srcRect/>
          <a:stretch>
            <a:fillRect/>
          </a:stretch>
        </xdr:blipFill>
        <xdr:spPr bwMode="auto">
          <a:xfrm>
            <a:off x="199289" y="259976"/>
            <a:ext cx="438561" cy="43030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103991</xdr:colOff>
      <xdr:row>14</xdr:row>
      <xdr:rowOff>134471</xdr:rowOff>
    </xdr:from>
    <xdr:to>
      <xdr:col>7</xdr:col>
      <xdr:colOff>946672</xdr:colOff>
      <xdr:row>26</xdr:row>
      <xdr:rowOff>44824</xdr:rowOff>
    </xdr:to>
    <mc:AlternateContent xmlns:mc="http://schemas.openxmlformats.org/markup-compatibility/2006" xmlns:a14="http://schemas.microsoft.com/office/drawing/2010/main">
      <mc:Choice Requires="a14">
        <xdr:graphicFrame macro="">
          <xdr:nvGraphicFramePr>
            <xdr:cNvPr id="2" name="Asset Class 5">
              <a:extLst>
                <a:ext uri="{FF2B5EF4-FFF2-40B4-BE49-F238E27FC236}">
                  <a16:creationId xmlns:a16="http://schemas.microsoft.com/office/drawing/2014/main" id="{DFAF8918-BAA6-4B79-AEA5-3C982EC1F706}"/>
                </a:ext>
              </a:extLst>
            </xdr:cNvPr>
            <xdr:cNvGraphicFramePr/>
          </xdr:nvGraphicFramePr>
          <xdr:xfrm>
            <a:off x="0" y="0"/>
            <a:ext cx="0" cy="0"/>
          </xdr:xfrm>
          <a:graphic>
            <a:graphicData uri="http://schemas.microsoft.com/office/drawing/2010/slicer">
              <sle:slicer xmlns:sle="http://schemas.microsoft.com/office/drawing/2010/slicer" name="Asset Class 5"/>
            </a:graphicData>
          </a:graphic>
        </xdr:graphicFrame>
      </mc:Choice>
      <mc:Fallback xmlns="">
        <xdr:sp macro="" textlink="">
          <xdr:nvSpPr>
            <xdr:cNvPr id="0" name=""/>
            <xdr:cNvSpPr>
              <a:spLocks noTextEdit="1"/>
            </xdr:cNvSpPr>
          </xdr:nvSpPr>
          <xdr:spPr>
            <a:xfrm>
              <a:off x="8104991" y="2470167"/>
              <a:ext cx="1820029" cy="18981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112955</xdr:colOff>
      <xdr:row>28</xdr:row>
      <xdr:rowOff>31377</xdr:rowOff>
    </xdr:from>
    <xdr:to>
      <xdr:col>8</xdr:col>
      <xdr:colOff>3136</xdr:colOff>
      <xdr:row>39</xdr:row>
      <xdr:rowOff>134471</xdr:rowOff>
    </xdr:to>
    <mc:AlternateContent xmlns:mc="http://schemas.openxmlformats.org/markup-compatibility/2006" xmlns:a14="http://schemas.microsoft.com/office/drawing/2010/main">
      <mc:Choice Requires="a14">
        <xdr:graphicFrame macro="">
          <xdr:nvGraphicFramePr>
            <xdr:cNvPr id="3" name="Asset Class 6">
              <a:extLst>
                <a:ext uri="{FF2B5EF4-FFF2-40B4-BE49-F238E27FC236}">
                  <a16:creationId xmlns:a16="http://schemas.microsoft.com/office/drawing/2014/main" id="{0EB0F919-6C2B-49E3-8D42-D86F6CD4B9A5}"/>
                </a:ext>
              </a:extLst>
            </xdr:cNvPr>
            <xdr:cNvGraphicFramePr/>
          </xdr:nvGraphicFramePr>
          <xdr:xfrm>
            <a:off x="0" y="0"/>
            <a:ext cx="0" cy="0"/>
          </xdr:xfrm>
          <a:graphic>
            <a:graphicData uri="http://schemas.microsoft.com/office/drawing/2010/slicer">
              <sle:slicer xmlns:sle="http://schemas.microsoft.com/office/drawing/2010/slicer" name="Asset Class 6"/>
            </a:graphicData>
          </a:graphic>
        </xdr:graphicFrame>
      </mc:Choice>
      <mc:Fallback xmlns="">
        <xdr:sp macro="" textlink="">
          <xdr:nvSpPr>
            <xdr:cNvPr id="0" name=""/>
            <xdr:cNvSpPr>
              <a:spLocks noTextEdit="1"/>
            </xdr:cNvSpPr>
          </xdr:nvSpPr>
          <xdr:spPr>
            <a:xfrm>
              <a:off x="8113955" y="4686203"/>
              <a:ext cx="1828311" cy="192526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166257</xdr:colOff>
      <xdr:row>1</xdr:row>
      <xdr:rowOff>83128</xdr:rowOff>
    </xdr:from>
    <xdr:to>
      <xdr:col>0</xdr:col>
      <xdr:colOff>2618511</xdr:colOff>
      <xdr:row>5</xdr:row>
      <xdr:rowOff>18746</xdr:rowOff>
    </xdr:to>
    <xdr:grpSp>
      <xdr:nvGrpSpPr>
        <xdr:cNvPr id="7" name="Group 6">
          <a:extLst>
            <a:ext uri="{FF2B5EF4-FFF2-40B4-BE49-F238E27FC236}">
              <a16:creationId xmlns:a16="http://schemas.microsoft.com/office/drawing/2014/main" id="{41226EF9-6E75-4961-BA84-0C4D4925D8BB}"/>
            </a:ext>
          </a:extLst>
        </xdr:cNvPr>
        <xdr:cNvGrpSpPr/>
      </xdr:nvGrpSpPr>
      <xdr:grpSpPr>
        <a:xfrm>
          <a:off x="166257" y="265345"/>
          <a:ext cx="2452254" cy="598227"/>
          <a:chOff x="89648" y="179294"/>
          <a:chExt cx="1828800" cy="600636"/>
        </a:xfrm>
      </xdr:grpSpPr>
      <xdr:sp macro="" textlink="">
        <xdr:nvSpPr>
          <xdr:cNvPr id="8" name="Rectangle: Top Corners Rounded 7">
            <a:hlinkClick xmlns:r="http://schemas.openxmlformats.org/officeDocument/2006/relationships" r:id="rId1"/>
            <a:extLst>
              <a:ext uri="{FF2B5EF4-FFF2-40B4-BE49-F238E27FC236}">
                <a16:creationId xmlns:a16="http://schemas.microsoft.com/office/drawing/2014/main" id="{0D78EB6B-BD3D-61BC-A3BA-E51DA2A983B2}"/>
              </a:ext>
            </a:extLst>
          </xdr:cNvPr>
          <xdr:cNvSpPr/>
        </xdr:nvSpPr>
        <xdr:spPr>
          <a:xfrm>
            <a:off x="89648" y="179294"/>
            <a:ext cx="1828800" cy="600636"/>
          </a:xfrm>
          <a:prstGeom prst="round2Same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t>BACK</a:t>
            </a:r>
          </a:p>
        </xdr:txBody>
      </xdr:sp>
      <xdr:pic>
        <xdr:nvPicPr>
          <xdr:cNvPr id="9" name="Picture 8" descr="Back Icon PNG Images, Vectors Free Download - Pngtree">
            <a:extLst>
              <a:ext uri="{FF2B5EF4-FFF2-40B4-BE49-F238E27FC236}">
                <a16:creationId xmlns:a16="http://schemas.microsoft.com/office/drawing/2014/main" id="{C06C7A01-E4A4-64C6-4500-041B54294AD9}"/>
              </a:ext>
            </a:extLst>
          </xdr:cNvPr>
          <xdr:cNvPicPr>
            <a:picLocks noChangeAspect="1" noChangeArrowheads="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ackgroundRemoval t="10000" b="90000" l="10000" r="90000"/>
                    </a14:imgEffect>
                  </a14:imgLayer>
                </a14:imgProps>
              </a:ext>
              <a:ext uri="{28A0092B-C50C-407E-A947-70E740481C1C}">
                <a14:useLocalDpi xmlns:a14="http://schemas.microsoft.com/office/drawing/2010/main" val="0"/>
              </a:ext>
            </a:extLst>
          </a:blip>
          <a:srcRect/>
          <a:stretch>
            <a:fillRect/>
          </a:stretch>
        </xdr:blipFill>
        <xdr:spPr bwMode="auto">
          <a:xfrm>
            <a:off x="199289" y="259976"/>
            <a:ext cx="438561" cy="43030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0</xdr:col>
      <xdr:colOff>166255</xdr:colOff>
      <xdr:row>7</xdr:row>
      <xdr:rowOff>89648</xdr:rowOff>
    </xdr:from>
    <xdr:to>
      <xdr:col>0</xdr:col>
      <xdr:colOff>2618509</xdr:colOff>
      <xdr:row>11</xdr:row>
      <xdr:rowOff>25265</xdr:rowOff>
    </xdr:to>
    <xdr:sp macro="" textlink="">
      <xdr:nvSpPr>
        <xdr:cNvPr id="10" name="Rectangle: Rounded Corners 9">
          <a:hlinkClick xmlns:r="http://schemas.openxmlformats.org/officeDocument/2006/relationships" r:id="rId4"/>
          <a:extLst>
            <a:ext uri="{FF2B5EF4-FFF2-40B4-BE49-F238E27FC236}">
              <a16:creationId xmlns:a16="http://schemas.microsoft.com/office/drawing/2014/main" id="{E3B4F42C-9AFF-4A9B-A708-D3F02E856050}"/>
            </a:ext>
          </a:extLst>
        </xdr:cNvPr>
        <xdr:cNvSpPr/>
      </xdr:nvSpPr>
      <xdr:spPr>
        <a:xfrm>
          <a:off x="166255" y="1267284"/>
          <a:ext cx="2452254" cy="600636"/>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IN" sz="1200" b="1"/>
            <a:t>FUNDS</a:t>
          </a:r>
        </a:p>
      </xdr:txBody>
    </xdr:sp>
    <xdr:clientData/>
  </xdr:twoCellAnchor>
  <xdr:twoCellAnchor>
    <xdr:from>
      <xdr:col>0</xdr:col>
      <xdr:colOff>175220</xdr:colOff>
      <xdr:row>13</xdr:row>
      <xdr:rowOff>78237</xdr:rowOff>
    </xdr:from>
    <xdr:to>
      <xdr:col>0</xdr:col>
      <xdr:colOff>2627474</xdr:colOff>
      <xdr:row>17</xdr:row>
      <xdr:rowOff>13855</xdr:rowOff>
    </xdr:to>
    <xdr:sp macro="" textlink="">
      <xdr:nvSpPr>
        <xdr:cNvPr id="11" name="Rectangle: Rounded Corners 10">
          <a:hlinkClick xmlns:r="http://schemas.openxmlformats.org/officeDocument/2006/relationships" r:id="rId4"/>
          <a:extLst>
            <a:ext uri="{FF2B5EF4-FFF2-40B4-BE49-F238E27FC236}">
              <a16:creationId xmlns:a16="http://schemas.microsoft.com/office/drawing/2014/main" id="{932BA539-B490-4851-9172-620FB7BB252E}"/>
            </a:ext>
          </a:extLst>
        </xdr:cNvPr>
        <xdr:cNvSpPr/>
      </xdr:nvSpPr>
      <xdr:spPr>
        <a:xfrm>
          <a:off x="175220" y="2253401"/>
          <a:ext cx="2452254" cy="60063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SUMMARY</a:t>
          </a:r>
        </a:p>
      </xdr:txBody>
    </xdr:sp>
    <xdr:clientData/>
  </xdr:twoCellAnchor>
  <xdr:twoCellAnchor>
    <xdr:from>
      <xdr:col>0</xdr:col>
      <xdr:colOff>166256</xdr:colOff>
      <xdr:row>19</xdr:row>
      <xdr:rowOff>84757</xdr:rowOff>
    </xdr:from>
    <xdr:to>
      <xdr:col>0</xdr:col>
      <xdr:colOff>2618510</xdr:colOff>
      <xdr:row>23</xdr:row>
      <xdr:rowOff>20375</xdr:rowOff>
    </xdr:to>
    <xdr:sp macro="" textlink="">
      <xdr:nvSpPr>
        <xdr:cNvPr id="12" name="Rectangle: Rounded Corners 11">
          <a:hlinkClick xmlns:r="http://schemas.openxmlformats.org/officeDocument/2006/relationships" r:id="rId5"/>
          <a:extLst>
            <a:ext uri="{FF2B5EF4-FFF2-40B4-BE49-F238E27FC236}">
              <a16:creationId xmlns:a16="http://schemas.microsoft.com/office/drawing/2014/main" id="{52E22381-3EB7-4673-BC24-FF921391A989}"/>
            </a:ext>
          </a:extLst>
        </xdr:cNvPr>
        <xdr:cNvSpPr/>
      </xdr:nvSpPr>
      <xdr:spPr>
        <a:xfrm>
          <a:off x="166256" y="3257448"/>
          <a:ext cx="2452254" cy="600636"/>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IN" sz="1200" b="1"/>
            <a:t>VIEW RULES</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29</xdr:col>
      <xdr:colOff>1288551</xdr:colOff>
      <xdr:row>1</xdr:row>
      <xdr:rowOff>26458</xdr:rowOff>
    </xdr:to>
    <xdr:pic>
      <xdr:nvPicPr>
        <xdr:cNvPr id="2" name="Picture 1">
          <a:extLst>
            <a:ext uri="{FF2B5EF4-FFF2-40B4-BE49-F238E27FC236}">
              <a16:creationId xmlns:a16="http://schemas.microsoft.com/office/drawing/2014/main" id="{1F1F8893-A654-45DB-A4ED-1A30C4C7D22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43341105" cy="1138978"/>
        </a:xfrm>
        <a:prstGeom prst="rect">
          <a:avLst/>
        </a:prstGeom>
      </xdr:spPr>
    </xdr:pic>
    <xdr:clientData/>
  </xdr:twoCellAnchor>
  <xdr:twoCellAnchor editAs="oneCell">
    <xdr:from>
      <xdr:col>1</xdr:col>
      <xdr:colOff>57148</xdr:colOff>
      <xdr:row>0</xdr:row>
      <xdr:rowOff>127000</xdr:rowOff>
    </xdr:from>
    <xdr:to>
      <xdr:col>2</xdr:col>
      <xdr:colOff>1826677</xdr:colOff>
      <xdr:row>0</xdr:row>
      <xdr:rowOff>998876</xdr:rowOff>
    </xdr:to>
    <xdr:pic>
      <xdr:nvPicPr>
        <xdr:cNvPr id="3" name="Picture 2">
          <a:extLst>
            <a:ext uri="{FF2B5EF4-FFF2-40B4-BE49-F238E27FC236}">
              <a16:creationId xmlns:a16="http://schemas.microsoft.com/office/drawing/2014/main" id="{557B70BF-6EBB-4008-91A4-BFD397ABAB1F}"/>
            </a:ext>
          </a:extLst>
        </xdr:cNvPr>
        <xdr:cNvPicPr>
          <a:picLocks noChangeAspect="1"/>
        </xdr:cNvPicPr>
      </xdr:nvPicPr>
      <xdr:blipFill>
        <a:blip xmlns:r="http://schemas.openxmlformats.org/officeDocument/2006/relationships" r:embed="rId2"/>
        <a:stretch>
          <a:fillRect/>
        </a:stretch>
      </xdr:blipFill>
      <xdr:spPr>
        <a:xfrm>
          <a:off x="57148" y="127000"/>
          <a:ext cx="2691549" cy="871876"/>
        </a:xfrm>
        <a:prstGeom prst="rect">
          <a:avLst/>
        </a:prstGeom>
      </xdr:spPr>
    </xdr:pic>
    <xdr:clientData/>
  </xdr:twoCellAnchor>
  <xdr:twoCellAnchor editAs="oneCell">
    <xdr:from>
      <xdr:col>27</xdr:col>
      <xdr:colOff>1925923</xdr:colOff>
      <xdr:row>0</xdr:row>
      <xdr:rowOff>203199</xdr:rowOff>
    </xdr:from>
    <xdr:to>
      <xdr:col>29</xdr:col>
      <xdr:colOff>1321858</xdr:colOff>
      <xdr:row>0</xdr:row>
      <xdr:rowOff>956066</xdr:rowOff>
    </xdr:to>
    <xdr:pic>
      <xdr:nvPicPr>
        <xdr:cNvPr id="4" name="Picture 3">
          <a:extLst>
            <a:ext uri="{FF2B5EF4-FFF2-40B4-BE49-F238E27FC236}">
              <a16:creationId xmlns:a16="http://schemas.microsoft.com/office/drawing/2014/main" id="{CCD9224D-8A3A-404C-A9BD-17C12AC1A4E0}"/>
            </a:ext>
          </a:extLst>
        </xdr:cNvPr>
        <xdr:cNvPicPr>
          <a:picLocks noChangeAspect="1"/>
        </xdr:cNvPicPr>
      </xdr:nvPicPr>
      <xdr:blipFill>
        <a:blip xmlns:r="http://schemas.openxmlformats.org/officeDocument/2006/relationships" r:embed="rId3"/>
        <a:stretch>
          <a:fillRect/>
        </a:stretch>
      </xdr:blipFill>
      <xdr:spPr>
        <a:xfrm>
          <a:off x="39804943" y="203199"/>
          <a:ext cx="3297374" cy="752867"/>
        </a:xfrm>
        <a:prstGeom prst="rect">
          <a:avLst/>
        </a:prstGeom>
      </xdr:spPr>
    </xdr:pic>
    <xdr:clientData/>
  </xdr:twoCellAnchor>
  <xdr:twoCellAnchor>
    <xdr:from>
      <xdr:col>0</xdr:col>
      <xdr:colOff>186479</xdr:colOff>
      <xdr:row>3</xdr:row>
      <xdr:rowOff>59934</xdr:rowOff>
    </xdr:from>
    <xdr:to>
      <xdr:col>0</xdr:col>
      <xdr:colOff>2371619</xdr:colOff>
      <xdr:row>6</xdr:row>
      <xdr:rowOff>151884</xdr:rowOff>
    </xdr:to>
    <xdr:grpSp>
      <xdr:nvGrpSpPr>
        <xdr:cNvPr id="12" name="Group 11">
          <a:extLst>
            <a:ext uri="{FF2B5EF4-FFF2-40B4-BE49-F238E27FC236}">
              <a16:creationId xmlns:a16="http://schemas.microsoft.com/office/drawing/2014/main" id="{93E058F4-4BD6-531D-2C4D-8C10270E07AF}"/>
            </a:ext>
          </a:extLst>
        </xdr:cNvPr>
        <xdr:cNvGrpSpPr/>
      </xdr:nvGrpSpPr>
      <xdr:grpSpPr>
        <a:xfrm>
          <a:off x="186479" y="1540391"/>
          <a:ext cx="2185140" cy="647122"/>
          <a:chOff x="186479" y="1532563"/>
          <a:chExt cx="2185140" cy="631343"/>
        </a:xfrm>
      </xdr:grpSpPr>
      <xdr:sp macro="" textlink="">
        <xdr:nvSpPr>
          <xdr:cNvPr id="6" name="Rectangle: Top Corners Rounded 5">
            <a:hlinkClick xmlns:r="http://schemas.openxmlformats.org/officeDocument/2006/relationships" r:id="rId4"/>
            <a:extLst>
              <a:ext uri="{FF2B5EF4-FFF2-40B4-BE49-F238E27FC236}">
                <a16:creationId xmlns:a16="http://schemas.microsoft.com/office/drawing/2014/main" id="{1B205B5A-5DDE-92EE-CB5C-1089E289DE65}"/>
              </a:ext>
            </a:extLst>
          </xdr:cNvPr>
          <xdr:cNvSpPr/>
        </xdr:nvSpPr>
        <xdr:spPr>
          <a:xfrm>
            <a:off x="186479" y="1532563"/>
            <a:ext cx="2185140" cy="631343"/>
          </a:xfrm>
          <a:prstGeom prst="round2Same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t>BACK</a:t>
            </a:r>
          </a:p>
        </xdr:txBody>
      </xdr:sp>
      <xdr:pic>
        <xdr:nvPicPr>
          <xdr:cNvPr id="7" name="Picture 6" descr="Back Icon PNG Images, Vectors Free Download - Pngtree">
            <a:extLst>
              <a:ext uri="{FF2B5EF4-FFF2-40B4-BE49-F238E27FC236}">
                <a16:creationId xmlns:a16="http://schemas.microsoft.com/office/drawing/2014/main" id="{825B505E-F5AC-6D5C-941C-2E287886B232}"/>
              </a:ext>
            </a:extLst>
          </xdr:cNvPr>
          <xdr:cNvPicPr>
            <a:picLocks noChangeAspect="1" noChangeArrowheads="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backgroundRemoval t="10000" b="90000" l="10000" r="90000"/>
                    </a14:imgEffect>
                  </a14:imgLayer>
                </a14:imgProps>
              </a:ext>
              <a:ext uri="{28A0092B-C50C-407E-A947-70E740481C1C}">
                <a14:useLocalDpi xmlns:a14="http://schemas.microsoft.com/office/drawing/2010/main" val="0"/>
              </a:ext>
            </a:extLst>
          </a:blip>
          <a:srcRect/>
          <a:stretch>
            <a:fillRect/>
          </a:stretch>
        </xdr:blipFill>
        <xdr:spPr bwMode="auto">
          <a:xfrm>
            <a:off x="408652" y="1645865"/>
            <a:ext cx="511977" cy="42163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0</xdr:col>
      <xdr:colOff>100860</xdr:colOff>
      <xdr:row>8</xdr:row>
      <xdr:rowOff>8563</xdr:rowOff>
    </xdr:from>
    <xdr:to>
      <xdr:col>0</xdr:col>
      <xdr:colOff>2422992</xdr:colOff>
      <xdr:row>11</xdr:row>
      <xdr:rowOff>179578</xdr:rowOff>
    </xdr:to>
    <xdr:sp macro="" textlink="">
      <xdr:nvSpPr>
        <xdr:cNvPr id="8" name="Rectangle: Rounded Corners 7">
          <a:hlinkClick xmlns:r="http://schemas.openxmlformats.org/officeDocument/2006/relationships" r:id="rId7"/>
          <a:extLst>
            <a:ext uri="{FF2B5EF4-FFF2-40B4-BE49-F238E27FC236}">
              <a16:creationId xmlns:a16="http://schemas.microsoft.com/office/drawing/2014/main" id="{A307AC61-B2A0-4885-94A6-FDDDFFFE06C6}"/>
            </a:ext>
          </a:extLst>
        </xdr:cNvPr>
        <xdr:cNvSpPr/>
      </xdr:nvSpPr>
      <xdr:spPr>
        <a:xfrm>
          <a:off x="100860" y="2380181"/>
          <a:ext cx="2322132" cy="710408"/>
        </a:xfrm>
        <a:prstGeom prst="roundRect">
          <a:avLst>
            <a:gd name="adj" fmla="val 14256"/>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IN" sz="1200" b="1"/>
            <a:t>VIEW</a:t>
          </a:r>
          <a:r>
            <a:rPr lang="en-IN" sz="1200" b="1" baseline="0"/>
            <a:t> RULES</a:t>
          </a:r>
          <a:endParaRPr lang="en-IN" sz="1200" b="1"/>
        </a:p>
      </xdr:txBody>
    </xdr:sp>
    <xdr:clientData/>
  </xdr:twoCellAnchor>
  <xdr:twoCellAnchor>
    <xdr:from>
      <xdr:col>0</xdr:col>
      <xdr:colOff>60335</xdr:colOff>
      <xdr:row>13</xdr:row>
      <xdr:rowOff>85620</xdr:rowOff>
    </xdr:from>
    <xdr:to>
      <xdr:col>0</xdr:col>
      <xdr:colOff>2448674</xdr:colOff>
      <xdr:row>16</xdr:row>
      <xdr:rowOff>164505</xdr:rowOff>
    </xdr:to>
    <xdr:sp macro="" textlink="">
      <xdr:nvSpPr>
        <xdr:cNvPr id="9" name="Rectangle: Rounded Corners 8">
          <a:hlinkClick xmlns:r="http://schemas.openxmlformats.org/officeDocument/2006/relationships" r:id="rId8"/>
          <a:extLst>
            <a:ext uri="{FF2B5EF4-FFF2-40B4-BE49-F238E27FC236}">
              <a16:creationId xmlns:a16="http://schemas.microsoft.com/office/drawing/2014/main" id="{A9C44209-0F1E-4331-A53A-E5F3C51140A7}"/>
            </a:ext>
          </a:extLst>
        </xdr:cNvPr>
        <xdr:cNvSpPr/>
      </xdr:nvSpPr>
      <xdr:spPr>
        <a:xfrm>
          <a:off x="60335" y="3356227"/>
          <a:ext cx="2388339" cy="61827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SUMMARY</a:t>
          </a:r>
        </a:p>
      </xdr:txBody>
    </xdr:sp>
    <xdr:clientData/>
  </xdr:twoCellAnchor>
  <xdr:twoCellAnchor>
    <xdr:from>
      <xdr:col>0</xdr:col>
      <xdr:colOff>42810</xdr:colOff>
      <xdr:row>19</xdr:row>
      <xdr:rowOff>17124</xdr:rowOff>
    </xdr:from>
    <xdr:to>
      <xdr:col>0</xdr:col>
      <xdr:colOff>2482922</xdr:colOff>
      <xdr:row>22</xdr:row>
      <xdr:rowOff>119755</xdr:rowOff>
    </xdr:to>
    <xdr:sp macro="" textlink="">
      <xdr:nvSpPr>
        <xdr:cNvPr id="10" name="Rectangle: Rounded Corners 9">
          <a:hlinkClick xmlns:r="http://schemas.openxmlformats.org/officeDocument/2006/relationships" r:id="rId9"/>
          <a:extLst>
            <a:ext uri="{FF2B5EF4-FFF2-40B4-BE49-F238E27FC236}">
              <a16:creationId xmlns:a16="http://schemas.microsoft.com/office/drawing/2014/main" id="{95BCEEA5-0587-4DFE-A5E6-32C69967625A}"/>
            </a:ext>
          </a:extLst>
        </xdr:cNvPr>
        <xdr:cNvSpPr/>
      </xdr:nvSpPr>
      <xdr:spPr>
        <a:xfrm>
          <a:off x="42810" y="4366517"/>
          <a:ext cx="2440112" cy="642025"/>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IN" sz="1200" b="1"/>
            <a:t>DATA</a:t>
          </a:r>
          <a:r>
            <a:rPr lang="en-IN" sz="1200" b="1" baseline="0"/>
            <a:t> DOCUMENTATION</a:t>
          </a:r>
          <a:endParaRPr lang="en-IN" sz="1200" b="1"/>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thanandh" refreshedDate="45525.988705787036" createdVersion="8" refreshedVersion="8" minRefreshableVersion="3" recordCount="44" xr:uid="{9A862235-A720-4164-8241-8D6C7EC26923}">
  <cacheSource type="worksheet">
    <worksheetSource ref="B2:AD46" sheet="Funds_data"/>
  </cacheSource>
  <cacheFields count="36">
    <cacheField name="As Of Date" numFmtId="164">
      <sharedItems containsSemiMixedTypes="0" containsNonDate="0" containsDate="1" containsString="0" minDate="2024-07-30T00:00:00" maxDate="2024-07-31T00:00:00"/>
    </cacheField>
    <cacheField name="Portfolio Name" numFmtId="0">
      <sharedItems/>
    </cacheField>
    <cacheField name="Regulation" numFmtId="0">
      <sharedItems/>
    </cacheField>
    <cacheField name="Base Currency" numFmtId="0">
      <sharedItems/>
    </cacheField>
    <cacheField name="Security Name" numFmtId="0">
      <sharedItems count="44">
        <s v="Raturo Inc. Class A Shares"/>
        <s v="Micro Works Class B Shares"/>
        <s v="Sams Electronics - ADR"/>
        <s v="Vortexal Ent Corporate Bond"/>
        <s v="US Govt 10-year bond"/>
        <s v="Zenith Core LLC Class A Shares"/>
        <s v="Azoo World Ltd W26"/>
        <s v="CDS on GE Corp Bond"/>
        <s v="PinnacleFusion CB"/>
        <s v="Freddie Mac"/>
        <s v="CDS on US Treasury 10 y Bond"/>
        <s v="AuroraPrime CB"/>
        <s v="Sep 24 Call on Coin Col"/>
        <s v="Horizon Class B Shares"/>
        <s v="Sep 24 Call on S&amp;P 500 Index"/>
        <s v="Sphere Class C Shares"/>
        <s v="Dynamo Class A Shares"/>
        <s v="Radiant Class B Shares"/>
        <s v="SEP 24 Call on Swiz Custom Index"/>
        <s v="Sep 24 Call on Para Global"/>
        <s v="Oct 24 LME Aluminium Future"/>
        <s v="Spectra Sys - ADR"/>
        <s v="Terra Nex - ADR"/>
        <s v="OCT 24 Call on Hope Lo Inc"/>
        <s v="US Govt 20-year bond"/>
        <s v="Hometo W25"/>
        <s v="Aether W26"/>
        <s v="OmniPulse  Class A"/>
        <s v="AxiomVista Term Loan"/>
        <s v="NexFusion Term Loan"/>
        <s v="Vortexal L4 Corporate Bond"/>
        <s v="QuantumRise CB"/>
        <s v="NebulaFusion CB"/>
        <s v="Equity Swap on Vertox AG"/>
        <s v="POCO Co Ltd - CFD"/>
        <s v="USD Cash Balance"/>
        <s v="EUR Cash Balance"/>
        <s v="USDEUR Currency"/>
        <s v="JPYEUR Currency"/>
        <s v="CNYEUR Currency"/>
        <s v="CHFEUR Currency"/>
        <s v="CDS on UK Treasury 10 y Bond"/>
        <s v="OmniPulse  Class B" u="1"/>
        <s v="OmniPulse  Class C" u="1"/>
      </sharedItems>
    </cacheField>
    <cacheField name="Long/Short" numFmtId="0">
      <sharedItems/>
    </cacheField>
    <cacheField name="Counterparty Name" numFmtId="0">
      <sharedItems count="10">
        <s v="NULL"/>
        <s v="Citi"/>
        <s v="Swiz Bank"/>
        <s v="JMP"/>
        <s v="Silvest"/>
        <s v="EPL"/>
        <s v="RBC"/>
        <s v="BP Bank"/>
        <s v="DB Bank"/>
        <s v="Cite"/>
      </sharedItems>
    </cacheField>
    <cacheField name="Local Currency (ISO Code)" numFmtId="0">
      <sharedItems/>
    </cacheField>
    <cacheField name="Maturity Date" numFmtId="0">
      <sharedItems containsDate="1" containsMixedTypes="1" minDate="2024-09-24T00:00:00" maxDate="2044-06-01T00:00:00"/>
    </cacheField>
    <cacheField name="Asset Class" numFmtId="0">
      <sharedItems count="7">
        <s v="Equity"/>
        <s v="Fixed Income"/>
        <s v="OTC"/>
        <s v="Option"/>
        <s v="Futures"/>
        <s v="Cash"/>
        <s v="FX"/>
      </sharedItems>
    </cacheField>
    <cacheField name="Security Type" numFmtId="0">
      <sharedItems count="14">
        <s v="Common Stock"/>
        <s v="Depository Receipts"/>
        <s v="Corporate Bond"/>
        <s v="Government Bond"/>
        <s v="Warrants"/>
        <s v="Credit Default Swap"/>
        <s v="Preference Shares"/>
        <s v="Equity Option"/>
        <s v="Index Option"/>
        <s v="Commodity Future"/>
        <s v="Bank Loan"/>
        <s v="Equity Swap"/>
        <s v="Cash Balance"/>
        <s v="Currency Forward"/>
      </sharedItems>
    </cacheField>
    <cacheField name="Issuer Name" numFmtId="0">
      <sharedItems count="32">
        <s v="Raturo Inc"/>
        <s v="Micro Works Ltd"/>
        <s v="Sams Electronics Ltd"/>
        <s v="Vortexal Enterprises Ltd."/>
        <s v="US Treasury Department"/>
        <s v="Zenith Core Innovations Ltd"/>
        <s v="Azoo Ventures Ltd"/>
        <s v="NA"/>
        <s v="PinnacleFusion Systems Corp."/>
        <s v="Federal Home Loan Mortgage Corp"/>
        <s v="AuroraPrime Solutions LLC"/>
        <s v="Coin Col Inc"/>
        <s v="HorizonPulse Enterprises Inc."/>
        <s v="S&amp;P 500 Index"/>
        <s v="Sphere Systems Ltd"/>
        <s v="Dynamo Sky Solutions Ltd."/>
        <s v="Radiant Core Technologies Inc."/>
        <s v="Para Global GTE Ltd"/>
        <s v="LME Primary Aluminium Future"/>
        <s v="SpectraLogic Systems Inc."/>
        <s v="TerraNex Solutions LLC"/>
        <s v="Home To Solutions Ltd"/>
        <s v="Aether Heights Ltd."/>
        <s v="OmniPulse Systems Inc."/>
        <s v="Axiom Vista L1 Ltd"/>
        <s v="Fusion Innova Ltd."/>
        <s v="Vortexal L4 Ltd."/>
        <s v="QuantumRise Solutions Corp."/>
        <s v="NebulaFusion Technologies Inc."/>
        <s v="Vertox AG Limited"/>
        <s v="POCO Ltd"/>
        <s v="NULL"/>
      </sharedItems>
    </cacheField>
    <cacheField name="Ultimate Parent Issuer Name" numFmtId="0">
      <sharedItems/>
    </cacheField>
    <cacheField name="Issuer Type" numFmtId="0">
      <sharedItems/>
    </cacheField>
    <cacheField name="Country of Origination" numFmtId="0">
      <sharedItems/>
    </cacheField>
    <cacheField name="Quantity EOD" numFmtId="43">
      <sharedItems containsSemiMixedTypes="0" containsString="0" containsNumber="1" minValue="-34760800" maxValue="75399300"/>
    </cacheField>
    <cacheField name="Market Price Local Ccy" numFmtId="43">
      <sharedItems containsSemiMixedTypes="0" containsString="0" containsNumber="1" minValue="5.6000000000000001E-2" maxValue="849.12"/>
    </cacheField>
    <cacheField name="fx_local_to_base" numFmtId="43">
      <sharedItems containsSemiMixedTypes="0" containsString="0" containsNumber="1" minValue="7.0000000000000001E-3" maxValue="1.18"/>
    </cacheField>
    <cacheField name="Market Value Local Ccy" numFmtId="2">
      <sharedItems containsSemiMixedTypes="0" containsString="0" containsNumber="1" minValue="-28327830.5975" maxValue="152505560.75999999" count="44">
        <n v="53457290.939999998"/>
        <n v="-4824767.2576000001"/>
        <n v="68075829.5308"/>
        <n v="23260565.685000002"/>
        <n v="24265770.375"/>
        <n v="152505560.75999999"/>
        <n v="2295520.4250000003"/>
        <n v="-119820"/>
        <n v="-28327830.5975"/>
        <n v="446400.00000000006"/>
        <n v="154639.72639999969"/>
        <n v="28993055.4375"/>
        <n v="6641073"/>
        <n v="1468270.4800000002"/>
        <n v="8629017.25"/>
        <n v="-9454786.5"/>
        <n v="4930680.2"/>
        <n v="5753452.1279999996"/>
        <n v="473884.42249999999"/>
        <n v="9874298.2799999993"/>
        <n v="-99.999999999994316"/>
        <n v="84945755.895000011"/>
        <n v="93294924.834999993"/>
        <n v="299762.34749999997"/>
        <n v="20660314.640000001"/>
        <n v="1778688.716"/>
        <n v="794169.33"/>
        <n v="2097579.6"/>
        <n v="1803321.0460000003"/>
        <n v="1584355.08375"/>
        <n v="32039563.5"/>
        <n v="-16887441.532500003"/>
        <n v="28642954.305"/>
        <n v="30341.56"/>
        <n v="312489.10000000003"/>
        <n v="-4783889"/>
        <n v="9677271"/>
        <n v="7741816.8000000007"/>
        <n v="9193407.4499999993"/>
        <n v="-660455.20000000054"/>
        <n v="-141891.20000000013"/>
        <n v="753993.0000000007"/>
        <n v="1862992.0000000016"/>
        <n v="-7128682.8399999756"/>
      </sharedItems>
    </cacheField>
    <cacheField name="Average Cost per unit Local Ccy" numFmtId="2">
      <sharedItems containsSemiMixedTypes="0" containsString="0" containsNumber="1" minValue="5.1999999999999998E-2" maxValue="870.26"/>
    </cacheField>
    <cacheField name="Unrealized PnL Local Ccy" numFmtId="2">
      <sharedItems containsSemiMixedTypes="0" containsString="0" containsNumber="1" minValue="-21527845.220000003" maxValue="9677271"/>
    </cacheField>
    <cacheField name="NAV Local Ccy" numFmtId="43">
      <sharedItems containsSemiMixedTypes="0" containsString="0" containsNumber="1" minValue="616409344.72084987" maxValue="616409344.72084987"/>
    </cacheField>
    <cacheField name="Region" numFmtId="0">
      <sharedItems count="3">
        <s v="Asia"/>
        <s v="North America"/>
        <s v="Europe"/>
      </sharedItems>
    </cacheField>
    <cacheField name="Region Classification" numFmtId="0">
      <sharedItems count="2">
        <s v="Emerging"/>
        <s v="Developed"/>
      </sharedItems>
    </cacheField>
    <cacheField name="Coupon Rate" numFmtId="0">
      <sharedItems containsBlank="1" containsMixedTypes="1" containsNumber="1" minValue="2.4E-2" maxValue="5.2999999999999999E-2"/>
    </cacheField>
    <cacheField name="Current Amount Outstanding" numFmtId="0">
      <sharedItems containsMixedTypes="1" containsNumber="1" containsInteger="1" minValue="2777830" maxValue="250731250"/>
    </cacheField>
    <cacheField name="Underlier Security Name" numFmtId="0">
      <sharedItems/>
    </cacheField>
    <cacheField name="Underlier Asset Class" numFmtId="0">
      <sharedItems/>
    </cacheField>
    <cacheField name="Underlier Security Type" numFmtId="0">
      <sharedItems/>
    </cacheField>
    <cacheField name="Exposure (%)" numFmtId="0" formula="(SUM(ABS('Market Value Local Ccy'))/616409344.7)*100" databaseField="0"/>
    <cacheField name="Field1" numFmtId="0" formula=" SUM('Exposure (%)')" databaseField="0"/>
    <cacheField name="Field2" numFmtId="0" formula="SUM(Field1)" databaseField="0"/>
    <cacheField name="abs" numFmtId="0" formula="IF('Market Value Local Ccy'&lt;0, ABS('Market Price Local Ccy'),'Market Price Local Ccy')" databaseField="0"/>
    <cacheField name="Filter" numFmtId="0" formula="IFERROR(IF('Exposure (%)'&gt;5,&quot; 'Issuer Name' &quot;,&quot;0&quot;),&quot;&quot;)" databaseField="0"/>
    <cacheField name="Filter&gt;10" numFmtId="0" formula="IFERROR(IF('Exposure (%)'&gt;10,&quot;Violation&quot;,&quot;0&quot;),&quot;&quot;)" databaseField="0"/>
    <cacheField name="Between" numFmtId="0" formula="IFERROR(IF(AND('Exposure (%)'&gt;5,'Exposure (%)'&lt;10),&quot;&quot;,'Issuer Name'), &quot;&quot;)" databaseField="0"/>
  </cacheFields>
  <extLst>
    <ext xmlns:x14="http://schemas.microsoft.com/office/spreadsheetml/2009/9/main" uri="{725AE2AE-9491-48be-B2B4-4EB974FC3084}">
      <x14:pivotCacheDefinition pivotCacheId="18120727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
  <r>
    <d v="2024-07-30T00:00:00"/>
    <s v="Prorite Global UCITS Fund"/>
    <s v="UCITS"/>
    <s v="EUR"/>
    <x v="0"/>
    <s v="Long"/>
    <x v="0"/>
    <s v="HKD"/>
    <s v="NULL"/>
    <x v="0"/>
    <x v="0"/>
    <x v="0"/>
    <s v="Raturo Inc"/>
    <s v="Transferable Securities"/>
    <s v="Hong Kong"/>
    <n v="430621"/>
    <n v="124.14"/>
    <n v="0.12"/>
    <x v="0"/>
    <n v="110.12"/>
    <n v="6037306.4199999981"/>
    <n v="616409344.72084987"/>
    <x v="0"/>
    <x v="0"/>
    <s v="NULL"/>
    <s v="NULL"/>
    <s v="NULL"/>
    <s v="NULL"/>
    <s v="NULL"/>
  </r>
  <r>
    <d v="2024-07-30T00:00:00"/>
    <s v="Prorite Global UCITS Fund"/>
    <s v="UCITS"/>
    <s v="EUR"/>
    <x v="1"/>
    <s v="Short"/>
    <x v="0"/>
    <s v="USD"/>
    <s v="NULL"/>
    <x v="0"/>
    <x v="0"/>
    <x v="1"/>
    <s v="Micro Works Ltd"/>
    <s v="Transferable Securities"/>
    <s v="USA"/>
    <n v="-64142.080000000002"/>
    <n v="75.22"/>
    <n v="0.92"/>
    <x v="1"/>
    <n v="73.2"/>
    <n v="-129567.00159999974"/>
    <n v="616409344.72084987"/>
    <x v="1"/>
    <x v="1"/>
    <s v="NULL"/>
    <s v="NULL"/>
    <s v="NULL"/>
    <s v="NULL"/>
    <s v="NULL"/>
  </r>
  <r>
    <d v="2024-07-30T00:00:00"/>
    <s v="Prorite Global UCITS Fund"/>
    <s v="UCITS"/>
    <s v="EUR"/>
    <x v="2"/>
    <s v="Long"/>
    <x v="0"/>
    <s v="KRW"/>
    <s v="NULL"/>
    <x v="0"/>
    <x v="1"/>
    <x v="2"/>
    <s v="Sams Hold Co. Ltd"/>
    <s v="Transferable Securities"/>
    <s v="South Korea"/>
    <n v="113810.632"/>
    <n v="598.15"/>
    <n v="6.7000000000000004E-2"/>
    <x v="2"/>
    <n v="596.33000000000004"/>
    <n v="207135.35023999275"/>
    <n v="616409344.72084987"/>
    <x v="0"/>
    <x v="0"/>
    <s v="NULL"/>
    <s v="NULL"/>
    <s v="Sams Electronics Class A Shares"/>
    <s v="Equity"/>
    <s v="Common Stock"/>
  </r>
  <r>
    <d v="2024-07-30T00:00:00"/>
    <s v="Prorite Global UCITS Fund"/>
    <s v="UCITS"/>
    <s v="EUR"/>
    <x v="3"/>
    <s v="Long"/>
    <x v="0"/>
    <s v="EUR"/>
    <d v="2029-05-15T00:00:00"/>
    <x v="1"/>
    <x v="2"/>
    <x v="3"/>
    <s v="Vortexal Enterprises Ltd"/>
    <s v="Transferable Securities"/>
    <s v="Netherlands"/>
    <n v="232396.5"/>
    <n v="100.09"/>
    <n v="1"/>
    <x v="3"/>
    <n v="100.4"/>
    <n v="-72042.915000000532"/>
    <n v="616409344.72084987"/>
    <x v="2"/>
    <x v="1"/>
    <n v="4.5999999999999999E-2"/>
    <n v="54195500"/>
    <s v="NULL"/>
    <s v="NULL"/>
    <s v="NULL"/>
  </r>
  <r>
    <d v="2024-07-30T00:00:00"/>
    <s v="Prorite Global UCITS Fund"/>
    <s v="UCITS"/>
    <s v="EUR"/>
    <x v="4"/>
    <s v="Long"/>
    <x v="0"/>
    <s v="USD"/>
    <d v="2034-05-31T00:00:00"/>
    <x v="1"/>
    <x v="3"/>
    <x v="4"/>
    <s v="US Government"/>
    <s v="GAPS"/>
    <s v="USA"/>
    <n v="250731.25"/>
    <n v="96.78"/>
    <n v="0.92"/>
    <x v="4"/>
    <n v="94.3"/>
    <n v="621813.50000000105"/>
    <n v="616409344.72084987"/>
    <x v="1"/>
    <x v="1"/>
    <n v="2.4E-2"/>
    <n v="250731250"/>
    <s v="NULL"/>
    <s v="NULL"/>
    <s v="NULL"/>
  </r>
  <r>
    <d v="2024-07-30T00:00:00"/>
    <s v="Prorite Global UCITS Fund"/>
    <s v="UCITS"/>
    <s v="EUR"/>
    <x v="5"/>
    <s v="Long"/>
    <x v="0"/>
    <s v="JPY"/>
    <s v="NULL"/>
    <x v="0"/>
    <x v="0"/>
    <x v="5"/>
    <s v="Zenith Holdings Co. Ltd"/>
    <s v="Transferable Securities"/>
    <s v="Japan"/>
    <n v="179604.25"/>
    <n v="849.12"/>
    <n v="7.0000000000000001E-3"/>
    <x v="5"/>
    <n v="870.26"/>
    <n v="-3796833.8449999974"/>
    <n v="616409344.72084987"/>
    <x v="0"/>
    <x v="0"/>
    <s v="NULL"/>
    <s v="NULL"/>
    <s v="NULL"/>
    <s v="NULL"/>
    <s v="NULL"/>
  </r>
  <r>
    <d v="2024-07-30T00:00:00"/>
    <s v="Prorite Global UCITS Fund"/>
    <s v="UCITS"/>
    <s v="EUR"/>
    <x v="6"/>
    <s v="Long"/>
    <x v="0"/>
    <s v="EUR"/>
    <d v="2026-07-31T00:00:00"/>
    <x v="0"/>
    <x v="4"/>
    <x v="6"/>
    <s v="Azoo Ventures Ltd"/>
    <s v="Transferable Securities"/>
    <s v="France"/>
    <n v="2550578.25"/>
    <n v="0.9"/>
    <n v="1"/>
    <x v="6"/>
    <n v="0.91"/>
    <n v="-25505.782500000023"/>
    <n v="616409344.72084987"/>
    <x v="2"/>
    <x v="1"/>
    <s v="NULL"/>
    <s v="NULL"/>
    <s v="Azoo Ventures Ltd Common Stock"/>
    <s v="Equity"/>
    <s v="Common Stock"/>
  </r>
  <r>
    <d v="2024-07-30T00:00:00"/>
    <s v="Prorite Global UCITS Fund"/>
    <s v="UCITS"/>
    <s v="EUR"/>
    <x v="7"/>
    <s v="Long"/>
    <x v="1"/>
    <s v="USD"/>
    <d v="2024-12-20T00:00:00"/>
    <x v="2"/>
    <x v="5"/>
    <x v="7"/>
    <s v="NA"/>
    <s v="NULL"/>
    <s v="USA"/>
    <n v="5991000"/>
    <n v="34.119999999999997"/>
    <n v="0.92"/>
    <x v="7"/>
    <n v="36.119999999999997"/>
    <n v="-119820"/>
    <n v="616409344.72084987"/>
    <x v="1"/>
    <x v="1"/>
    <n v="4.2999999999999997E-2"/>
    <s v="NULL"/>
    <s v="General Electric 10 Year Corporate Bond"/>
    <s v="Fixed Income"/>
    <s v="Corporate Bond "/>
  </r>
  <r>
    <d v="2024-07-30T00:00:00"/>
    <s v="Prorite Global UCITS Fund"/>
    <s v="UCITS"/>
    <s v="EUR"/>
    <x v="8"/>
    <s v="Short"/>
    <x v="0"/>
    <s v="EUR"/>
    <d v="2034-06-30T00:00:00"/>
    <x v="1"/>
    <x v="2"/>
    <x v="8"/>
    <s v="PinnacleFusion Systems Corp."/>
    <s v="Transferable Securities"/>
    <s v="Switzerland"/>
    <n v="-262708.25"/>
    <n v="107.83"/>
    <n v="1"/>
    <x v="8"/>
    <n v="107.2"/>
    <n v="-165506.19749999882"/>
    <n v="616409344.72084987"/>
    <x v="2"/>
    <x v="1"/>
    <n v="2.9000000000000001E-2"/>
    <n v="6567700"/>
    <s v="NULL"/>
    <s v="NULL"/>
    <s v="NULL"/>
  </r>
  <r>
    <d v="2024-07-30T00:00:00"/>
    <s v="Prorite Global UCITS Fund"/>
    <s v="UCITS"/>
    <s v="EUR"/>
    <x v="9"/>
    <s v="Long"/>
    <x v="0"/>
    <s v="EUR"/>
    <s v="NULL"/>
    <x v="0"/>
    <x v="6"/>
    <x v="9"/>
    <s v="Federal Home Loan Mortgage Corp"/>
    <s v="Transferable Securities"/>
    <s v="USA"/>
    <n v="96000"/>
    <n v="4.6500000000000004"/>
    <n v="0.92"/>
    <x v="9"/>
    <n v="4.2"/>
    <n v="43200.000000000015"/>
    <n v="616409344.72084987"/>
    <x v="1"/>
    <x v="1"/>
    <s v="NULL"/>
    <s v="NULL"/>
    <s v="NULL"/>
    <s v="NULL"/>
    <s v="NULL"/>
  </r>
  <r>
    <d v="2024-07-30T00:00:00"/>
    <s v="Prorite Global UCITS Fund"/>
    <s v="UCITS"/>
    <s v="EUR"/>
    <x v="10"/>
    <s v="Long"/>
    <x v="2"/>
    <s v="USD"/>
    <d v="2025-02-21T00:00:00"/>
    <x v="2"/>
    <x v="5"/>
    <x v="7"/>
    <s v="NA"/>
    <s v="NULL"/>
    <s v="USA"/>
    <n v="7655432"/>
    <n v="42.76"/>
    <n v="0.92"/>
    <x v="10"/>
    <n v="40.74"/>
    <n v="154639.72639999969"/>
    <n v="616409344.72084987"/>
    <x v="2"/>
    <x v="1"/>
    <n v="4.3999999999999997E-2"/>
    <s v="NULL"/>
    <s v="10 Y US Treasury Bond"/>
    <s v="Fixed Income"/>
    <s v="Government Bond "/>
  </r>
  <r>
    <d v="2024-07-30T00:00:00"/>
    <s v="Prorite Global UCITS Fund"/>
    <s v="UCITS"/>
    <s v="EUR"/>
    <x v="11"/>
    <s v="Long"/>
    <x v="0"/>
    <s v="USD"/>
    <d v="2026-09-30T00:00:00"/>
    <x v="1"/>
    <x v="2"/>
    <x v="10"/>
    <s v="AuroraPrime Solutions LLC"/>
    <s v="Transferable Securities"/>
    <s v="USA"/>
    <n v="265431.25"/>
    <n v="109.23"/>
    <n v="0.92"/>
    <x v="11"/>
    <n v="109.4"/>
    <n v="-45123.312500000451"/>
    <n v="616409344.72084987"/>
    <x v="1"/>
    <x v="1"/>
    <n v="4.4999999999999998E-2"/>
    <n v="8538000"/>
    <s v="NULL"/>
    <s v="NULL"/>
    <s v="NULL"/>
  </r>
  <r>
    <d v="2024-07-30T00:00:00"/>
    <s v="Prorite Global UCITS Fund"/>
    <s v="UCITS"/>
    <s v="EUR"/>
    <x v="12"/>
    <s v="Short"/>
    <x v="3"/>
    <s v="USD"/>
    <d v="2024-09-27T00:00:00"/>
    <x v="3"/>
    <x v="7"/>
    <x v="11"/>
    <s v="Coin Col inc"/>
    <s v="NULL"/>
    <s v="USA"/>
    <n v="2767113.75"/>
    <n v="2.4"/>
    <n v="0.92"/>
    <x v="12"/>
    <n v="2.1"/>
    <n v="830134.12499999953"/>
    <n v="616409344.72084987"/>
    <x v="1"/>
    <x v="1"/>
    <s v="NULL"/>
    <s v="NULL"/>
    <s v="Coin Col Inc Class A Shares"/>
    <s v="Equity"/>
    <s v="Common Stock"/>
  </r>
  <r>
    <d v="2024-07-30T00:00:00"/>
    <s v="Prorite Global UCITS Fund"/>
    <s v="UCITS"/>
    <s v="EUR"/>
    <x v="13"/>
    <s v="Long"/>
    <x v="0"/>
    <s v="CHF"/>
    <s v="NULL"/>
    <x v="0"/>
    <x v="0"/>
    <x v="12"/>
    <s v="HorizonPulse Enterprises Inc."/>
    <s v="Transferable Securities"/>
    <s v="Switzerland"/>
    <n v="19218.2"/>
    <n v="76.400000000000006"/>
    <n v="1.1499999999999999"/>
    <x v="13"/>
    <n v="73.11"/>
    <n v="63227.878000000121"/>
    <n v="616409344.72084987"/>
    <x v="2"/>
    <x v="1"/>
    <s v="NULL"/>
    <s v="NULL"/>
    <s v="NULL"/>
    <s v="NULL"/>
    <s v="NULL"/>
  </r>
  <r>
    <d v="2024-07-30T00:00:00"/>
    <s v="Prorite Global UCITS Fund"/>
    <s v="UCITS"/>
    <s v="EUR"/>
    <x v="14"/>
    <s v="Long"/>
    <x v="4"/>
    <s v="USD"/>
    <d v="2024-09-27T00:00:00"/>
    <x v="3"/>
    <x v="8"/>
    <x v="13"/>
    <s v="S&amp;P 500 Index"/>
    <s v="NULL"/>
    <s v="USA"/>
    <n v="2465433.5"/>
    <n v="3.5"/>
    <n v="0.92"/>
    <x v="14"/>
    <n v="3.1"/>
    <n v="986173.39999999979"/>
    <n v="616409344.72084987"/>
    <x v="1"/>
    <x v="1"/>
    <s v="NULL"/>
    <s v="NULL"/>
    <s v="S&amp;P 500 Index"/>
    <s v="Index"/>
    <s v="Equity Index"/>
  </r>
  <r>
    <d v="2024-07-30T00:00:00"/>
    <s v="Prorite Global UCITS Fund"/>
    <s v="UCITS"/>
    <s v="EUR"/>
    <x v="15"/>
    <s v="Short"/>
    <x v="0"/>
    <s v="EUR"/>
    <s v="NULL"/>
    <x v="0"/>
    <x v="0"/>
    <x v="14"/>
    <s v="Innovation Systems LLC"/>
    <s v="Transferable Securities"/>
    <s v="France"/>
    <n v="-27050"/>
    <n v="349.53"/>
    <n v="1"/>
    <x v="15"/>
    <n v="354.2"/>
    <n v="126323.50000000044"/>
    <n v="616409344.72084987"/>
    <x v="2"/>
    <x v="1"/>
    <s v="NULL"/>
    <s v="NULL"/>
    <s v="NULL"/>
    <s v="NULL"/>
    <s v="NULL"/>
  </r>
  <r>
    <d v="2024-07-30T00:00:00"/>
    <s v="Prorite Global UCITS Fund"/>
    <s v="UCITS"/>
    <s v="EUR"/>
    <x v="16"/>
    <s v="Long"/>
    <x v="0"/>
    <s v="USD"/>
    <s v="NULL"/>
    <x v="0"/>
    <x v="0"/>
    <x v="15"/>
    <s v="Dynamo Sky Solutions Ltd."/>
    <s v="Transferable Securities"/>
    <s v="USA"/>
    <n v="22402"/>
    <n v="220.1"/>
    <n v="0.92"/>
    <x v="16"/>
    <n v="488.1"/>
    <n v="-6003736"/>
    <n v="616409344.72084987"/>
    <x v="1"/>
    <x v="1"/>
    <s v="NULL"/>
    <s v="NULL"/>
    <s v="NULL"/>
    <s v="NULL"/>
    <s v="NULL"/>
  </r>
  <r>
    <d v="2024-07-30T00:00:00"/>
    <s v="Prorite Global UCITS Fund"/>
    <s v="UCITS"/>
    <s v="EUR"/>
    <x v="17"/>
    <s v="Long"/>
    <x v="0"/>
    <s v="CHF"/>
    <s v="NULL"/>
    <x v="0"/>
    <x v="0"/>
    <x v="16"/>
    <s v="Radiant Core Technologies Inc."/>
    <s v="Transferable Securities"/>
    <s v="Switzerland"/>
    <n v="24583.200000000001"/>
    <n v="234.04"/>
    <n v="1.1499999999999999"/>
    <x v="17"/>
    <n v="240.09"/>
    <n v="-148728.36000000028"/>
    <n v="616409344.72084987"/>
    <x v="2"/>
    <x v="1"/>
    <s v="NULL"/>
    <s v="NULL"/>
    <s v="NULL"/>
    <s v="NULL"/>
    <s v="NULL"/>
  </r>
  <r>
    <d v="2024-07-30T00:00:00"/>
    <s v="Prorite Global UCITS Fund"/>
    <s v="UCITS"/>
    <s v="EUR"/>
    <x v="18"/>
    <s v="Long"/>
    <x v="2"/>
    <s v="USD"/>
    <d v="2024-09-30T00:00:00"/>
    <x v="2"/>
    <x v="8"/>
    <x v="7"/>
    <s v="NA"/>
    <s v="NULL"/>
    <s v="USA"/>
    <n v="8000.75"/>
    <n v="59.23"/>
    <n v="0.92"/>
    <x v="18"/>
    <n v="55.23"/>
    <n v="32003"/>
    <n v="616409344.72084987"/>
    <x v="2"/>
    <x v="1"/>
    <m/>
    <s v="NULL"/>
    <s v="Swiz Custom Index"/>
    <s v="Index"/>
    <s v="Equity Index"/>
  </r>
  <r>
    <d v="2024-07-30T00:00:00"/>
    <s v="Prorite Global UCITS Fund"/>
    <s v="UCITS"/>
    <s v="EUR"/>
    <x v="19"/>
    <s v="Long"/>
    <x v="2"/>
    <s v="GBP"/>
    <d v="2024-10-31T00:00:00"/>
    <x v="3"/>
    <x v="7"/>
    <x v="17"/>
    <s v="Para Global GTE Ltd"/>
    <s v="NULL"/>
    <s v="UK"/>
    <n v="2351023.4"/>
    <n v="4.2"/>
    <n v="1.18"/>
    <x v="19"/>
    <n v="3.7"/>
    <n v="1175511.7"/>
    <n v="616409344.72084987"/>
    <x v="0"/>
    <x v="0"/>
    <s v="NULL"/>
    <s v="NULL"/>
    <s v="Para Global GTE Ltd Class A Shares"/>
    <s v="Index"/>
    <s v="Equity Index"/>
  </r>
  <r>
    <d v="2024-07-30T00:00:00"/>
    <s v="Prorite Global UCITS Fund"/>
    <s v="UCITS"/>
    <s v="EUR"/>
    <x v="20"/>
    <s v="Long"/>
    <x v="5"/>
    <s v="EUR"/>
    <d v="2024-10-31T00:00:00"/>
    <x v="4"/>
    <x v="9"/>
    <x v="18"/>
    <s v="LME Primary Aluminium Future"/>
    <s v="NULL"/>
    <s v="Switzerland"/>
    <n v="1000"/>
    <n v="78.900000000000006"/>
    <n v="1"/>
    <x v="20"/>
    <n v="79"/>
    <n v="-99.999999999994316"/>
    <n v="616409344.72084987"/>
    <x v="2"/>
    <x v="1"/>
    <s v="NULL"/>
    <s v="NULL"/>
    <s v="NULL"/>
    <s v="NULL"/>
    <s v="NULL"/>
  </r>
  <r>
    <d v="2024-07-30T00:00:00"/>
    <s v="Prorite Global UCITS Fund"/>
    <s v="UCITS"/>
    <s v="EUR"/>
    <x v="21"/>
    <s v="Long"/>
    <x v="0"/>
    <s v="EUR"/>
    <s v="NULL"/>
    <x v="0"/>
    <x v="1"/>
    <x v="19"/>
    <s v="SpectraLogic Systems Inc."/>
    <s v="Transferable Securities"/>
    <s v="Netherlands"/>
    <n v="248074.75"/>
    <n v="342.42"/>
    <n v="1"/>
    <x v="21"/>
    <n v="330.92"/>
    <n v="2852859.625"/>
    <n v="616409344.72084987"/>
    <x v="2"/>
    <x v="1"/>
    <s v="NULL"/>
    <s v="NULL"/>
    <s v="Spectra Sys Class B Shares"/>
    <s v="Equity"/>
    <s v="Common Stock"/>
  </r>
  <r>
    <d v="2024-07-30T00:00:00"/>
    <s v="Prorite Global UCITS Fund"/>
    <s v="UCITS"/>
    <s v="EUR"/>
    <x v="22"/>
    <s v="Long"/>
    <x v="0"/>
    <s v="CHF"/>
    <s v="NULL"/>
    <x v="0"/>
    <x v="1"/>
    <x v="20"/>
    <s v="TerraNex Solutions LLC"/>
    <s v="Transferable Securities"/>
    <s v="Switzerland"/>
    <n v="327052.25"/>
    <n v="285.26"/>
    <n v="1.1499999999999999"/>
    <x v="22"/>
    <n v="279.98"/>
    <n v="1726835.879999991"/>
    <n v="616409344.72084987"/>
    <x v="2"/>
    <x v="1"/>
    <s v="NULL"/>
    <s v="NULL"/>
    <s v="Terra Nex Class A Shares"/>
    <s v="Equity"/>
    <s v="Common Stock"/>
  </r>
  <r>
    <d v="2024-07-30T00:00:00"/>
    <s v="Prorite Global UCITS Fund"/>
    <s v="UCITS"/>
    <s v="EUR"/>
    <x v="23"/>
    <s v="Long"/>
    <x v="6"/>
    <s v="CNY"/>
    <d v="2024-10-31T00:00:00"/>
    <x v="2"/>
    <x v="7"/>
    <x v="7"/>
    <s v="NA"/>
    <s v="NULL"/>
    <s v="China"/>
    <n v="302790.25"/>
    <n v="0.99"/>
    <n v="0.13"/>
    <x v="23"/>
    <n v="1.04"/>
    <n v="-15139.512500000013"/>
    <n v="616409344.72084987"/>
    <x v="0"/>
    <x v="0"/>
    <s v="NULL"/>
    <s v="NULL"/>
    <s v="Hope Lo Inc Class A"/>
    <s v="Equity"/>
    <s v="Common Stock"/>
  </r>
  <r>
    <d v="2024-07-30T00:00:00"/>
    <s v="Prorite Global UCITS Fund"/>
    <s v="UCITS"/>
    <s v="EUR"/>
    <x v="24"/>
    <s v="Long"/>
    <x v="0"/>
    <s v="USD"/>
    <d v="2044-05-31T00:00:00"/>
    <x v="1"/>
    <x v="3"/>
    <x v="4"/>
    <s v="US Government"/>
    <s v="GAPS"/>
    <s v="USA"/>
    <n v="211078"/>
    <n v="97.88"/>
    <n v="0.92"/>
    <x v="24"/>
    <n v="199.87"/>
    <n v="-21527845.220000003"/>
    <n v="616409344.72084987"/>
    <x v="1"/>
    <x v="1"/>
    <n v="4.3999999999999997E-2"/>
    <n v="6830400"/>
    <s v="NULL"/>
    <s v="NULL"/>
    <s v="NULL"/>
  </r>
  <r>
    <d v="2024-07-30T00:00:00"/>
    <s v="Prorite Global UCITS Fund"/>
    <s v="UCITS"/>
    <s v="EUR"/>
    <x v="25"/>
    <s v="Long"/>
    <x v="0"/>
    <s v="EUR"/>
    <d v="2025-06-23T00:00:00"/>
    <x v="0"/>
    <x v="4"/>
    <x v="21"/>
    <s v="SS Solutions Ltd"/>
    <s v="Transferable Securities"/>
    <s v="Spain"/>
    <n v="31762298.5"/>
    <n v="5.6000000000000001E-2"/>
    <n v="1"/>
    <x v="25"/>
    <n v="5.1999999999999998E-2"/>
    <n v="127049.19400000012"/>
    <n v="616409344.72084987"/>
    <x v="2"/>
    <x v="1"/>
    <s v="NULL"/>
    <s v="NULL"/>
    <s v="Home To Solutions Class A Shares"/>
    <s v="Equity"/>
    <s v="Common Stock"/>
  </r>
  <r>
    <d v="2024-07-30T00:00:00"/>
    <s v="Prorite Global UCITS Fund"/>
    <s v="UCITS"/>
    <s v="EUR"/>
    <x v="26"/>
    <s v="Long"/>
    <x v="0"/>
    <s v="EUR"/>
    <d v="2026-03-24T00:00:00"/>
    <x v="0"/>
    <x v="4"/>
    <x v="22"/>
    <s v="Aether Holdings Ltd."/>
    <s v="Transferable Securities"/>
    <s v="Spain"/>
    <n v="13236155.5"/>
    <n v="0.06"/>
    <n v="1"/>
    <x v="26"/>
    <n v="5.5E-2"/>
    <n v="66180.777499999967"/>
    <n v="616409344.72084987"/>
    <x v="2"/>
    <x v="1"/>
    <s v="NULL"/>
    <s v="NULL"/>
    <s v="Aether Heights Class A Shares"/>
    <s v="Equity"/>
    <s v="Common Stock"/>
  </r>
  <r>
    <d v="2024-07-30T00:00:00"/>
    <s v="Prorite Global UCITS Fund"/>
    <s v="UCITS"/>
    <s v="EUR"/>
    <x v="27"/>
    <s v="Long"/>
    <x v="0"/>
    <s v="USD"/>
    <s v="NULL"/>
    <x v="0"/>
    <x v="0"/>
    <x v="23"/>
    <s v="OmniPulse Systems Inc."/>
    <s v="Transferable Securities"/>
    <s v="USA"/>
    <n v="17012"/>
    <n v="123.3"/>
    <n v="0.92"/>
    <x v="27"/>
    <n v="589.02"/>
    <n v="-7922828.6399999997"/>
    <n v="616409344.72084987"/>
    <x v="1"/>
    <x v="1"/>
    <s v="NULL"/>
    <s v="NULL"/>
    <s v="NULL"/>
    <s v="NULL"/>
    <s v="NULL"/>
  </r>
  <r>
    <d v="2024-07-30T00:00:00"/>
    <s v="Prorite Global UCITS Fund"/>
    <s v="UCITS"/>
    <s v="EUR"/>
    <x v="28"/>
    <s v="Long"/>
    <x v="3"/>
    <s v="EUR"/>
    <d v="2038-09-30T00:00:00"/>
    <x v="1"/>
    <x v="10"/>
    <x v="24"/>
    <s v="Axiom Vista Enterprises Ltd"/>
    <s v="Transferable Securities"/>
    <s v="Spain"/>
    <n v="1796136.5"/>
    <n v="100.4"/>
    <n v="1"/>
    <x v="28"/>
    <n v="100"/>
    <n v="718454.60000001022"/>
    <n v="616409344.72084987"/>
    <x v="1"/>
    <x v="0"/>
    <n v="5.2999999999999999E-2"/>
    <s v="NULL"/>
    <s v="NULL"/>
    <s v="NULL"/>
    <s v="NULL"/>
  </r>
  <r>
    <d v="2024-07-30T00:00:00"/>
    <s v="Prorite Global UCITS Fund"/>
    <s v="UCITS"/>
    <s v="EUR"/>
    <x v="29"/>
    <s v="Long"/>
    <x v="5"/>
    <s v="EUR"/>
    <d v="2027-11-30T00:00:00"/>
    <x v="1"/>
    <x v="10"/>
    <x v="25"/>
    <s v="NexFusion Innovations Ltd."/>
    <s v="Transferable Securities"/>
    <s v="Germany"/>
    <n v="1595523.75"/>
    <n v="99.3"/>
    <n v="1"/>
    <x v="29"/>
    <n v="100"/>
    <n v="-1116866.6250000044"/>
    <n v="616409344.72084987"/>
    <x v="0"/>
    <x v="1"/>
    <n v="4.5999999999999999E-2"/>
    <s v="NULL"/>
    <s v="NULL"/>
    <s v="NULL"/>
    <s v="NULL"/>
  </r>
  <r>
    <d v="2024-07-30T00:00:00"/>
    <s v="Prorite Global UCITS Fund"/>
    <s v="UCITS"/>
    <s v="EUR"/>
    <x v="30"/>
    <s v="Long"/>
    <x v="0"/>
    <s v="GBP"/>
    <d v="2034-06-30T00:00:00"/>
    <x v="1"/>
    <x v="2"/>
    <x v="26"/>
    <s v="Vortexal Enterprises Ltd"/>
    <s v="Transferable Securities"/>
    <s v="UK"/>
    <n v="309561"/>
    <n v="103.5"/>
    <n v="1.18"/>
    <x v="30"/>
    <n v="102.8"/>
    <n v="216692.70000000088"/>
    <n v="616409344.72084987"/>
    <x v="2"/>
    <x v="1"/>
    <n v="4.3999999999999997E-2"/>
    <n v="54195500"/>
    <s v="NULL"/>
    <s v="NULL"/>
    <s v="NULL"/>
  </r>
  <r>
    <d v="2024-07-30T00:00:00"/>
    <s v="Prorite Global UCITS Fund"/>
    <s v="UCITS"/>
    <s v="EUR"/>
    <x v="31"/>
    <s v="Short"/>
    <x v="0"/>
    <s v="EUR"/>
    <d v="2031-03-31T00:00:00"/>
    <x v="1"/>
    <x v="2"/>
    <x v="27"/>
    <s v="QuantumRise Solutions Ltd"/>
    <s v="Transferable Securities"/>
    <s v="Germany"/>
    <n v="-172303.25"/>
    <n v="98.01"/>
    <n v="1"/>
    <x v="31"/>
    <n v="99.6"/>
    <n v="273962.16749999812"/>
    <n v="616409344.72084987"/>
    <x v="2"/>
    <x v="1"/>
    <n v="4.5999999999999999E-2"/>
    <n v="2777830"/>
    <s v="NULL"/>
    <s v="NULL"/>
    <s v="NULL"/>
  </r>
  <r>
    <d v="2024-07-30T00:00:00"/>
    <s v="Prorite Global UCITS Fund"/>
    <s v="UCITS"/>
    <s v="EUR"/>
    <x v="32"/>
    <s v="Long"/>
    <x v="0"/>
    <s v="USD"/>
    <d v="2033-05-31T00:00:00"/>
    <x v="1"/>
    <x v="2"/>
    <x v="28"/>
    <s v="NebulaFusion Hold Co Ltd"/>
    <s v="Transferable Securities"/>
    <s v="USA"/>
    <n v="272634.25"/>
    <n v="105.06"/>
    <n v="0.92"/>
    <x v="32"/>
    <n v="104.9"/>
    <n v="43621.479999999072"/>
    <n v="616409344.72084987"/>
    <x v="1"/>
    <x v="1"/>
    <n v="4.3999999999999997E-2"/>
    <n v="9534500"/>
    <s v="NULL"/>
    <s v="NULL"/>
    <s v="NULL"/>
  </r>
  <r>
    <d v="2024-07-30T00:00:00"/>
    <s v="Prorite Global UCITS Fund"/>
    <s v="UCITS"/>
    <s v="EUR"/>
    <x v="33"/>
    <s v="Long"/>
    <x v="2"/>
    <s v="EUR"/>
    <d v="2024-11-25T00:00:00"/>
    <x v="2"/>
    <x v="11"/>
    <x v="29"/>
    <s v="Vertox AG Holding Company Limite"/>
    <s v="NULL"/>
    <s v="Germany"/>
    <n v="24469"/>
    <n v="1.24"/>
    <n v="1"/>
    <x v="33"/>
    <n v="1.26"/>
    <n v="-489.38000000000045"/>
    <n v="616409344.72084987"/>
    <x v="1"/>
    <x v="1"/>
    <s v="NULL"/>
    <s v="NULL"/>
    <s v="Vertox AG Class A Shares"/>
    <s v="Equity"/>
    <s v="Common Stock"/>
  </r>
  <r>
    <d v="2024-07-30T00:00:00"/>
    <s v="Prorite Global UCITS Fund"/>
    <s v="UCITS"/>
    <s v="EUR"/>
    <x v="34"/>
    <s v="Long"/>
    <x v="7"/>
    <s v="USD"/>
    <d v="2024-11-25T00:00:00"/>
    <x v="2"/>
    <x v="11"/>
    <x v="30"/>
    <s v="POCO Ltd"/>
    <s v="NULL"/>
    <s v="USA"/>
    <n v="284081"/>
    <n v="1.1000000000000001"/>
    <n v="0.92"/>
    <x v="34"/>
    <n v="0.1"/>
    <n v="284081"/>
    <n v="616409344.72084987"/>
    <x v="0"/>
    <x v="0"/>
    <s v="NULL"/>
    <s v="NULL"/>
    <s v="POCO Ltd"/>
    <s v="Equity"/>
    <s v="Common Stock"/>
  </r>
  <r>
    <d v="2024-07-30T00:00:00"/>
    <s v="Prorite Global UCITS Fund"/>
    <s v="UCITS"/>
    <s v="EUR"/>
    <x v="35"/>
    <s v="Short"/>
    <x v="4"/>
    <s v="USD"/>
    <s v="NULL"/>
    <x v="5"/>
    <x v="12"/>
    <x v="31"/>
    <s v="NULL"/>
    <s v="NULL"/>
    <s v="USA"/>
    <n v="-4783889"/>
    <n v="1"/>
    <n v="0.92"/>
    <x v="35"/>
    <n v="1"/>
    <n v="-4783889"/>
    <n v="616409344.72084987"/>
    <x v="1"/>
    <x v="1"/>
    <s v="NULL"/>
    <s v="NULL"/>
    <s v="NULL"/>
    <s v="NULL"/>
    <s v="NULL"/>
  </r>
  <r>
    <d v="2024-07-30T00:00:00"/>
    <s v="Prorite Global UCITS Fund"/>
    <s v="UCITS"/>
    <s v="EUR"/>
    <x v="36"/>
    <s v="Long"/>
    <x v="8"/>
    <s v="EUR"/>
    <s v="NULL"/>
    <x v="5"/>
    <x v="12"/>
    <x v="31"/>
    <s v="NULL"/>
    <s v="NULL"/>
    <s v="Luxembourg"/>
    <n v="9677271"/>
    <n v="1"/>
    <n v="1"/>
    <x v="36"/>
    <n v="1"/>
    <n v="9677271"/>
    <n v="616409344.72084987"/>
    <x v="1"/>
    <x v="1"/>
    <s v="NULL"/>
    <s v="NULL"/>
    <s v="NULL"/>
    <s v="NULL"/>
    <s v="NULL"/>
  </r>
  <r>
    <d v="2024-07-30T00:00:00"/>
    <s v="Prorite Global UCITS Fund"/>
    <s v="UCITS"/>
    <s v="EUR"/>
    <x v="35"/>
    <s v="Long"/>
    <x v="8"/>
    <s v="USD"/>
    <s v="NULL"/>
    <x v="5"/>
    <x v="12"/>
    <x v="31"/>
    <s v="NULL"/>
    <s v="NULL"/>
    <s v="Luxembourg"/>
    <n v="7741816.8000000007"/>
    <n v="1"/>
    <n v="0.92"/>
    <x v="37"/>
    <n v="1"/>
    <n v="7741816.8000000007"/>
    <n v="616409344.72084987"/>
    <x v="1"/>
    <x v="1"/>
    <s v="NULL"/>
    <s v="NULL"/>
    <s v="NULL"/>
    <s v="NULL"/>
    <s v="NULL"/>
  </r>
  <r>
    <d v="2024-07-30T00:00:00"/>
    <s v="Prorite Global UCITS Fund"/>
    <s v="UCITS"/>
    <s v="EUR"/>
    <x v="36"/>
    <s v="Long"/>
    <x v="9"/>
    <s v="EUR"/>
    <s v="NULL"/>
    <x v="5"/>
    <x v="12"/>
    <x v="31"/>
    <s v="NULL"/>
    <s v="NULL"/>
    <s v="Switzerland"/>
    <n v="9193407.4499999993"/>
    <n v="1"/>
    <n v="1"/>
    <x v="38"/>
    <n v="1"/>
    <n v="9193407.4499999993"/>
    <n v="616409344.72084987"/>
    <x v="1"/>
    <x v="1"/>
    <s v="NULL"/>
    <s v="NULL"/>
    <s v="NULL"/>
    <s v="NULL"/>
    <s v="NULL"/>
  </r>
  <r>
    <d v="2024-07-30T00:00:00"/>
    <s v="Prorite Global UCITS Fund"/>
    <s v="UCITS"/>
    <s v="EUR"/>
    <x v="37"/>
    <s v="Short"/>
    <x v="4"/>
    <s v="USD"/>
    <d v="2024-10-10T00:00:00"/>
    <x v="6"/>
    <x v="13"/>
    <x v="31"/>
    <s v="NULL"/>
    <s v="NULL"/>
    <s v="USA"/>
    <n v="-34760800"/>
    <n v="0.91200000000000003"/>
    <n v="0.92"/>
    <x v="39"/>
    <n v="0.89300000000000002"/>
    <n v="-660455.20000000054"/>
    <n v="616409344.72084987"/>
    <x v="1"/>
    <x v="1"/>
    <s v="NULL"/>
    <s v="NULL"/>
    <s v="NULL"/>
    <s v="NULL"/>
    <s v="NULL"/>
  </r>
  <r>
    <d v="2024-07-30T00:00:00"/>
    <s v="Prorite Global UCITS Fund"/>
    <s v="UCITS"/>
    <s v="EUR"/>
    <x v="38"/>
    <s v="Long"/>
    <x v="9"/>
    <s v="JPY"/>
    <d v="2024-09-26T00:00:00"/>
    <x v="6"/>
    <x v="13"/>
    <x v="31"/>
    <s v="NULL"/>
    <s v="NULL"/>
    <s v="Switzerland"/>
    <n v="35472800"/>
    <n v="6.5000000000000002E-2"/>
    <n v="6.2E-2"/>
    <x v="40"/>
    <n v="6.9000000000000006E-2"/>
    <n v="-141891.20000000013"/>
    <n v="616409344.72084987"/>
    <x v="2"/>
    <x v="1"/>
    <s v="NULL"/>
    <s v="NULL"/>
    <s v="NULL"/>
    <s v="NULL"/>
    <s v="NULL"/>
  </r>
  <r>
    <d v="2024-07-30T00:00:00"/>
    <s v="Prorite Global UCITS Fund"/>
    <s v="UCITS"/>
    <s v="EUR"/>
    <x v="39"/>
    <s v="Long"/>
    <x v="6"/>
    <s v="CNY"/>
    <d v="2024-09-24T00:00:00"/>
    <x v="6"/>
    <x v="13"/>
    <x v="31"/>
    <s v="NULL"/>
    <s v="NULL"/>
    <s v="Luxembourg"/>
    <n v="75399300"/>
    <n v="0.14000000000000001"/>
    <n v="0.13"/>
    <x v="41"/>
    <n v="0.13"/>
    <n v="753993.0000000007"/>
    <n v="616409344.72084987"/>
    <x v="2"/>
    <x v="1"/>
    <s v="NULL"/>
    <s v="NULL"/>
    <s v="NULL"/>
    <s v="NULL"/>
    <s v="NULL"/>
  </r>
  <r>
    <d v="2024-07-30T00:00:00"/>
    <s v="Prorite Global UCITS Fund"/>
    <s v="UCITS"/>
    <s v="EUR"/>
    <x v="40"/>
    <s v="Long"/>
    <x v="5"/>
    <s v="CHF"/>
    <d v="2024-10-24T00:00:00"/>
    <x v="6"/>
    <x v="13"/>
    <x v="31"/>
    <s v="NULL"/>
    <s v="NULL"/>
    <s v="Luxembourg"/>
    <n v="46574800"/>
    <n v="1.1100000000000001"/>
    <n v="1.06"/>
    <x v="42"/>
    <n v="1.07"/>
    <n v="1862992.0000000016"/>
    <n v="616409344.72084987"/>
    <x v="2"/>
    <x v="1"/>
    <s v="NULL"/>
    <s v="NULL"/>
    <s v="NULL"/>
    <s v="NULL"/>
    <s v="NULL"/>
  </r>
  <r>
    <d v="2024-07-30T00:00:00"/>
    <s v="Prorite Global UCITS Fund"/>
    <s v="UCITS"/>
    <s v="EUR"/>
    <x v="41"/>
    <s v="Long"/>
    <x v="2"/>
    <s v="EUR"/>
    <d v="2024-09-30T00:00:00"/>
    <x v="2"/>
    <x v="5"/>
    <x v="7"/>
    <s v="NA"/>
    <s v="NULL"/>
    <s v="Germany"/>
    <n v="6540076"/>
    <n v="46.14"/>
    <n v="1"/>
    <x v="43"/>
    <n v="47.23"/>
    <n v="-7128682.8399999756"/>
    <n v="616409344.72084987"/>
    <x v="2"/>
    <x v="1"/>
    <n v="3.9E-2"/>
    <s v="NULL"/>
    <s v="10 Y UK Treasury Bond"/>
    <s v="Fixed Income"/>
    <s v="Government Bond "/>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163401D-0812-4A3B-B9B5-D9BDA02F4E07}" name="PivotTable31" cacheId="414"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4">
  <location ref="I56:M88" firstHeaderRow="0" firstDataRow="1" firstDataCol="1"/>
  <pivotFields count="36">
    <pivotField compact="0" numFmtId="16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8">
        <item x="5"/>
        <item x="0"/>
        <item x="1"/>
        <item x="4"/>
        <item x="6"/>
        <item x="3"/>
        <item x="2"/>
        <item t="default"/>
      </items>
    </pivotField>
    <pivotField compact="0" outline="0" showAll="0"/>
    <pivotField axis="axisRow" compact="0" outline="0" showAll="0">
      <items count="33">
        <item x="22"/>
        <item x="10"/>
        <item x="24"/>
        <item x="6"/>
        <item x="11"/>
        <item x="15"/>
        <item x="9"/>
        <item x="25"/>
        <item x="21"/>
        <item x="12"/>
        <item x="18"/>
        <item x="1"/>
        <item x="7"/>
        <item x="28"/>
        <item x="31"/>
        <item x="23"/>
        <item x="17"/>
        <item x="8"/>
        <item x="30"/>
        <item x="27"/>
        <item x="16"/>
        <item x="0"/>
        <item x="13"/>
        <item x="2"/>
        <item x="19"/>
        <item x="14"/>
        <item x="20"/>
        <item x="4"/>
        <item x="29"/>
        <item x="3"/>
        <item x="26"/>
        <item x="5"/>
        <item t="default"/>
      </items>
    </pivotField>
    <pivotField compact="0" outline="0" showAll="0"/>
    <pivotField compact="0" outline="0" showAll="0"/>
    <pivotField compact="0" outline="0" showAll="0"/>
    <pivotField compact="0" numFmtId="43" outline="0" showAll="0"/>
    <pivotField compact="0" numFmtId="43" outline="0" showAll="0"/>
    <pivotField compact="0" numFmtId="43" outline="0" showAll="0"/>
    <pivotField compact="0" numFmtId="43" outline="0" showAll="0"/>
    <pivotField compact="0" numFmtId="43" outline="0" showAll="0"/>
    <pivotField compact="0" numFmtId="43" outline="0" showAll="0"/>
    <pivotField compact="0" numFmtId="43"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s>
  <rowFields count="1">
    <field x="11"/>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rowItems>
  <colFields count="1">
    <field x="-2"/>
  </colFields>
  <colItems count="4">
    <i>
      <x/>
    </i>
    <i i="1">
      <x v="1"/>
    </i>
    <i i="2">
      <x v="2"/>
    </i>
    <i i="3">
      <x v="3"/>
    </i>
  </colItems>
  <dataFields count="4">
    <dataField name="Sum of Exposure (%)" fld="29" baseField="0" baseItem="0" numFmtId="43"/>
    <dataField name="Var of Filter" fld="33" subtotal="var" baseField="11" baseItem="0" numFmtId="49"/>
    <dataField name="Var of Filter&gt;10" fld="34" subtotal="var" baseField="11" baseItem="0" numFmtId="43"/>
    <dataField name="Sum of Between" fld="35" baseField="0" baseItem="0" numFmtId="43"/>
  </dataFields>
  <chartFormats count="2">
    <chartFormat chart="0" format="0"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67549FD-C4FB-45A6-BF9C-38DEDF805041}" name="PivotTable8" cacheId="414" applyNumberFormats="0" applyBorderFormats="0" applyFontFormats="0" applyPatternFormats="0" applyAlignmentFormats="0" applyWidthHeightFormats="1" dataCaption="Values" updatedVersion="8" minRefreshableVersion="3" showDrill="0" useAutoFormatting="1" itemPrintTitles="1" createdVersion="8" indent="0" compact="0" compactData="0" multipleFieldFilters="0">
  <location ref="A31:C55" firstHeaderRow="1" firstDataRow="1" firstDataCol="2"/>
  <pivotFields count="36">
    <pivotField compact="0" numFmtId="164"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axis="axisRow" compact="0" outline="0" subtotalTop="0" showAll="0" includeNewItemsInFilter="1">
      <items count="8">
        <item x="5"/>
        <item x="0"/>
        <item x="1"/>
        <item x="4"/>
        <item x="6"/>
        <item x="3"/>
        <item x="2"/>
        <item t="default"/>
      </items>
    </pivotField>
    <pivotField axis="axisRow" compact="0" outline="0" subtotalTop="0" showAll="0">
      <items count="15">
        <item x="10"/>
        <item x="12"/>
        <item x="9"/>
        <item x="0"/>
        <item x="2"/>
        <item x="5"/>
        <item x="13"/>
        <item x="1"/>
        <item x="7"/>
        <item x="11"/>
        <item x="3"/>
        <item x="8"/>
        <item x="6"/>
        <item x="4"/>
        <item t="default"/>
      </items>
    </pivotField>
    <pivotField compact="0" outline="0" subtotalTop="0" showAll="0"/>
    <pivotField compact="0" outline="0" subtotalTop="0" showAll="0"/>
    <pivotField compact="0" outline="0" subtotalTop="0" showAll="0"/>
    <pivotField compact="0" outline="0" subtotalTop="0" showAll="0"/>
    <pivotField compact="0" numFmtId="43" outline="0" subtotalTop="0" showAll="0"/>
    <pivotField compact="0" numFmtId="43" outline="0" subtotalTop="0" showAll="0"/>
    <pivotField compact="0" numFmtId="43" outline="0" subtotalTop="0" showAll="0"/>
    <pivotField compact="0" numFmtId="43" outline="0" subtotalTop="0" showAll="0">
      <items count="45">
        <item x="8"/>
        <item x="31"/>
        <item x="15"/>
        <item x="43"/>
        <item x="1"/>
        <item x="35"/>
        <item x="39"/>
        <item x="40"/>
        <item x="7"/>
        <item x="20"/>
        <item x="33"/>
        <item x="10"/>
        <item x="23"/>
        <item x="34"/>
        <item x="9"/>
        <item x="18"/>
        <item x="41"/>
        <item x="26"/>
        <item x="13"/>
        <item x="29"/>
        <item x="25"/>
        <item x="28"/>
        <item x="42"/>
        <item x="27"/>
        <item x="6"/>
        <item x="16"/>
        <item x="17"/>
        <item x="12"/>
        <item x="37"/>
        <item x="14"/>
        <item x="38"/>
        <item x="36"/>
        <item x="19"/>
        <item x="24"/>
        <item x="3"/>
        <item x="4"/>
        <item x="32"/>
        <item x="11"/>
        <item x="30"/>
        <item x="0"/>
        <item x="2"/>
        <item x="21"/>
        <item x="22"/>
        <item x="5"/>
        <item t="default"/>
      </items>
    </pivotField>
    <pivotField compact="0" numFmtId="43" outline="0" subtotalTop="0" showAll="0"/>
    <pivotField compact="0" numFmtId="43" outline="0" subtotalTop="0" showAll="0"/>
    <pivotField compact="0" numFmtId="43"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dragToRow="0" dragToCol="0" dragToPage="0" showAll="0" defaultSubtotal="0"/>
    <pivotField compact="0" outline="0" subtotalTop="0" dragToRow="0" dragToCol="0" dragToPage="0" showAll="0" defaultSubtotal="0"/>
    <pivotField compact="0" outline="0" subtotalTop="0" dragToRow="0" dragToCol="0" dragToPage="0" showAll="0" defaultSubtotal="0"/>
    <pivotField dataField="1" compact="0" outline="0" subtotalTop="0" dragToRow="0" dragToCol="0" dragToPage="0" showAll="0" defaultSubtotal="0"/>
    <pivotField compact="0" outline="0" subtotalTop="0" dragToRow="0" dragToCol="0" dragToPage="0" showAll="0" defaultSubtotal="0"/>
    <pivotField compact="0" outline="0" subtotalTop="0" dragToRow="0" dragToCol="0" dragToPage="0" showAll="0" defaultSubtotal="0"/>
    <pivotField compact="0" outline="0" subtotalTop="0" dragToRow="0" dragToCol="0" dragToPage="0" showAll="0" defaultSubtotal="0"/>
  </pivotFields>
  <rowFields count="2">
    <field x="9"/>
    <field x="10"/>
  </rowFields>
  <rowItems count="24">
    <i>
      <x/>
      <x v="1"/>
    </i>
    <i t="default">
      <x/>
    </i>
    <i>
      <x v="1"/>
      <x v="3"/>
    </i>
    <i r="1">
      <x v="7"/>
    </i>
    <i r="1">
      <x v="12"/>
    </i>
    <i r="1">
      <x v="13"/>
    </i>
    <i t="default">
      <x v="1"/>
    </i>
    <i>
      <x v="2"/>
      <x/>
    </i>
    <i r="1">
      <x v="4"/>
    </i>
    <i r="1">
      <x v="10"/>
    </i>
    <i t="default">
      <x v="2"/>
    </i>
    <i>
      <x v="3"/>
      <x v="2"/>
    </i>
    <i t="default">
      <x v="3"/>
    </i>
    <i>
      <x v="4"/>
      <x v="6"/>
    </i>
    <i t="default">
      <x v="4"/>
    </i>
    <i>
      <x v="5"/>
      <x v="8"/>
    </i>
    <i r="1">
      <x v="11"/>
    </i>
    <i t="default">
      <x v="5"/>
    </i>
    <i>
      <x v="6"/>
      <x v="5"/>
    </i>
    <i r="1">
      <x v="8"/>
    </i>
    <i r="1">
      <x v="9"/>
    </i>
    <i r="1">
      <x v="11"/>
    </i>
    <i t="default">
      <x v="6"/>
    </i>
    <i t="grand">
      <x/>
    </i>
  </rowItems>
  <colItems count="1">
    <i/>
  </colItems>
  <dataFields count="1">
    <dataField name="Sum of abs" fld="32" showDataAs="percentOfTotal" baseField="0" baseItem="0" numFmtId="10"/>
  </dataFields>
  <formats count="4">
    <format dxfId="34">
      <pivotArea outline="0" fieldPosition="0">
        <references count="2">
          <reference field="9" count="1" selected="0">
            <x v="0"/>
          </reference>
          <reference field="10" count="1" selected="0" defaultSubtotal="1">
            <x v="1"/>
          </reference>
        </references>
      </pivotArea>
    </format>
    <format dxfId="33">
      <pivotArea dataOnly="0" labelOnly="1" outline="0" fieldPosition="0">
        <references count="2">
          <reference field="9" count="1" selected="0">
            <x v="0"/>
          </reference>
          <reference field="10" count="1" defaultSubtotal="1">
            <x v="1"/>
          </reference>
        </references>
      </pivotArea>
    </format>
    <format dxfId="32">
      <pivotArea outline="0" fieldPosition="0">
        <references count="1">
          <reference field="9" count="0" selected="0" defaultSubtotal="1"/>
        </references>
      </pivotArea>
    </format>
    <format dxfId="3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14A90EE-B4B4-4F35-A2BD-1695E6749695}" name="PivotTable11" cacheId="414"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I32:J37" firstHeaderRow="1" firstDataRow="1" firstDataCol="1"/>
  <pivotFields count="36">
    <pivotField compact="0" numFmtId="164" outline="0" showAll="0"/>
    <pivotField compact="0" outline="0" showAll="0"/>
    <pivotField compact="0" outline="0" showAll="0"/>
    <pivotField compact="0" outline="0" showAll="0"/>
    <pivotField compact="0" outline="0" showAll="0"/>
    <pivotField compact="0" outline="0" showAll="0"/>
    <pivotField axis="axisRow" compact="0" outline="0" showAll="0">
      <items count="11">
        <item x="7"/>
        <item x="9"/>
        <item x="1"/>
        <item x="8"/>
        <item x="5"/>
        <item x="3"/>
        <item x="0"/>
        <item x="6"/>
        <item x="4"/>
        <item x="2"/>
        <item t="default"/>
      </items>
    </pivotField>
    <pivotField compact="0" outline="0" showAll="0"/>
    <pivotField compact="0" outline="0" showAll="0"/>
    <pivotField compact="0" outline="0" showAll="0">
      <items count="8">
        <item h="1" x="5"/>
        <item h="1" x="0"/>
        <item h="1" x="1"/>
        <item h="1" x="4"/>
        <item h="1" x="6"/>
        <item h="1" x="3"/>
        <item x="2"/>
        <item t="default"/>
      </items>
    </pivotField>
    <pivotField compact="0" outline="0" showAll="0"/>
    <pivotField compact="0" outline="0" showAll="0"/>
    <pivotField compact="0" outline="0" showAll="0"/>
    <pivotField compact="0" outline="0" showAll="0"/>
    <pivotField compact="0" outline="0" showAll="0"/>
    <pivotField compact="0" numFmtId="43" outline="0" showAll="0"/>
    <pivotField compact="0" numFmtId="43" outline="0" showAll="0"/>
    <pivotField compact="0" numFmtId="43" outline="0" showAll="0"/>
    <pivotField compact="0" numFmtId="43" outline="0" showAll="0"/>
    <pivotField compact="0" numFmtId="43" outline="0" showAll="0"/>
    <pivotField compact="0" numFmtId="43" outline="0" showAll="0"/>
    <pivotField compact="0" numFmtId="43"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1">
    <field x="6"/>
  </rowFields>
  <rowItems count="5">
    <i>
      <x/>
    </i>
    <i>
      <x v="2"/>
    </i>
    <i>
      <x v="7"/>
    </i>
    <i>
      <x v="9"/>
    </i>
    <i t="grand">
      <x/>
    </i>
  </rowItems>
  <colItems count="1">
    <i/>
  </colItems>
  <dataFields count="1">
    <dataField name="Sum of Exposure (%)" fld="29" baseField="0" baseItem="0" numFmtId="4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A2B6257-83F7-4054-AE77-429F9BB12DD2}" name="PivotTable9" cacheId="414"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4">
  <location ref="I3:J11" firstHeaderRow="1" firstDataRow="1" firstDataCol="1"/>
  <pivotFields count="36">
    <pivotField compact="0" numFmtId="16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8">
        <item x="5"/>
        <item x="0"/>
        <item x="1"/>
        <item x="4"/>
        <item x="6"/>
        <item x="3"/>
        <item x="2"/>
        <item t="default"/>
      </items>
    </pivotField>
    <pivotField compact="0" outline="0" showAll="0"/>
    <pivotField compact="0" outline="0" showAll="0"/>
    <pivotField compact="0" outline="0" showAll="0"/>
    <pivotField compact="0" outline="0" showAll="0"/>
    <pivotField compact="0" outline="0" showAll="0"/>
    <pivotField compact="0" numFmtId="43" outline="0" showAll="0"/>
    <pivotField compact="0" numFmtId="43" outline="0" showAll="0"/>
    <pivotField compact="0" numFmtId="43" outline="0" showAll="0"/>
    <pivotField compact="0" numFmtId="43" outline="0" showAll="0"/>
    <pivotField compact="0" numFmtId="43" outline="0" showAll="0"/>
    <pivotField compact="0" numFmtId="43" outline="0" showAll="0"/>
    <pivotField compact="0" numFmtId="43"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1">
    <field x="9"/>
  </rowFields>
  <rowItems count="8">
    <i>
      <x/>
    </i>
    <i>
      <x v="1"/>
    </i>
    <i>
      <x v="2"/>
    </i>
    <i>
      <x v="3"/>
    </i>
    <i>
      <x v="4"/>
    </i>
    <i>
      <x v="5"/>
    </i>
    <i>
      <x v="6"/>
    </i>
    <i t="grand">
      <x/>
    </i>
  </rowItems>
  <colItems count="1">
    <i/>
  </colItems>
  <dataFields count="1">
    <dataField name="Sum of Exposure (%)" fld="29" baseField="0" baseItem="0" numFmtId="43"/>
  </dataFields>
  <chartFormats count="9">
    <chartFormat chart="0" format="0"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0"/>
          </reference>
        </references>
      </pivotArea>
    </chartFormat>
    <chartFormat chart="3" format="10">
      <pivotArea type="data" outline="0" fieldPosition="0">
        <references count="2">
          <reference field="4294967294" count="1" selected="0">
            <x v="0"/>
          </reference>
          <reference field="9" count="1" selected="0">
            <x v="0"/>
          </reference>
        </references>
      </pivotArea>
    </chartFormat>
    <chartFormat chart="3" format="11">
      <pivotArea type="data" outline="0" fieldPosition="0">
        <references count="2">
          <reference field="4294967294" count="1" selected="0">
            <x v="0"/>
          </reference>
          <reference field="9" count="1" selected="0">
            <x v="1"/>
          </reference>
        </references>
      </pivotArea>
    </chartFormat>
    <chartFormat chart="3" format="12">
      <pivotArea type="data" outline="0" fieldPosition="0">
        <references count="2">
          <reference field="4294967294" count="1" selected="0">
            <x v="0"/>
          </reference>
          <reference field="9" count="1" selected="0">
            <x v="2"/>
          </reference>
        </references>
      </pivotArea>
    </chartFormat>
    <chartFormat chart="3" format="13">
      <pivotArea type="data" outline="0" fieldPosition="0">
        <references count="2">
          <reference field="4294967294" count="1" selected="0">
            <x v="0"/>
          </reference>
          <reference field="9" count="1" selected="0">
            <x v="3"/>
          </reference>
        </references>
      </pivotArea>
    </chartFormat>
    <chartFormat chart="3" format="14">
      <pivotArea type="data" outline="0" fieldPosition="0">
        <references count="2">
          <reference field="4294967294" count="1" selected="0">
            <x v="0"/>
          </reference>
          <reference field="9" count="1" selected="0">
            <x v="4"/>
          </reference>
        </references>
      </pivotArea>
    </chartFormat>
    <chartFormat chart="3" format="15">
      <pivotArea type="data" outline="0" fieldPosition="0">
        <references count="2">
          <reference field="4294967294" count="1" selected="0">
            <x v="0"/>
          </reference>
          <reference field="9" count="1" selected="0">
            <x v="5"/>
          </reference>
        </references>
      </pivotArea>
    </chartFormat>
    <chartFormat chart="3" format="16">
      <pivotArea type="data" outline="0" fieldPosition="0">
        <references count="2">
          <reference field="4294967294" count="1" selected="0">
            <x v="0"/>
          </reference>
          <reference field="9"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6191EBB-6211-4FB2-8C32-B94BF32F154D}" name="PivotTable10" cacheId="414"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I16:J27" firstHeaderRow="1" firstDataRow="1" firstDataCol="1"/>
  <pivotFields count="36">
    <pivotField compact="0" numFmtId="164" outline="0" showAll="0"/>
    <pivotField compact="0" outline="0" showAll="0"/>
    <pivotField compact="0" outline="0" showAll="0"/>
    <pivotField compact="0" outline="0" showAll="0"/>
    <pivotField axis="axisRow" compact="0" outline="0" showAll="0">
      <items count="45">
        <item x="26"/>
        <item x="11"/>
        <item x="28"/>
        <item x="6"/>
        <item x="7"/>
        <item x="41"/>
        <item x="10"/>
        <item x="40"/>
        <item x="39"/>
        <item x="16"/>
        <item x="33"/>
        <item x="36"/>
        <item x="9"/>
        <item x="25"/>
        <item x="13"/>
        <item x="38"/>
        <item x="1"/>
        <item x="32"/>
        <item x="29"/>
        <item x="23"/>
        <item x="20"/>
        <item x="8"/>
        <item x="34"/>
        <item x="31"/>
        <item x="17"/>
        <item x="0"/>
        <item x="2"/>
        <item x="12"/>
        <item x="19"/>
        <item x="14"/>
        <item x="18"/>
        <item x="21"/>
        <item x="15"/>
        <item x="22"/>
        <item x="4"/>
        <item x="24"/>
        <item x="35"/>
        <item x="37"/>
        <item x="3"/>
        <item x="30"/>
        <item x="5"/>
        <item m="1" x="42"/>
        <item x="27"/>
        <item m="1" x="43"/>
        <item t="default"/>
      </items>
    </pivotField>
    <pivotField compact="0" outline="0" showAll="0"/>
    <pivotField compact="0" outline="0" showAll="0"/>
    <pivotField compact="0" outline="0" showAll="0"/>
    <pivotField compact="0" outline="0" showAll="0"/>
    <pivotField compact="0" outline="0" showAll="0">
      <items count="8">
        <item h="1" x="5"/>
        <item h="1" x="0"/>
        <item x="1"/>
        <item h="1" x="4"/>
        <item h="1" x="6"/>
        <item h="1" x="3"/>
        <item h="1" x="2"/>
        <item t="default"/>
      </items>
    </pivotField>
    <pivotField compact="0" outline="0" showAll="0"/>
    <pivotField compact="0" outline="0" showAll="0"/>
    <pivotField compact="0" outline="0" showAll="0"/>
    <pivotField compact="0" outline="0" showAll="0"/>
    <pivotField compact="0" outline="0" showAll="0"/>
    <pivotField compact="0" numFmtId="43" outline="0" showAll="0"/>
    <pivotField compact="0" numFmtId="43" outline="0" showAll="0"/>
    <pivotField compact="0" numFmtId="43" outline="0" showAll="0"/>
    <pivotField compact="0" numFmtId="43" outline="0" showAll="0"/>
    <pivotField compact="0" numFmtId="43" outline="0" showAll="0"/>
    <pivotField compact="0" numFmtId="43" outline="0" showAll="0"/>
    <pivotField compact="0" numFmtId="43"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1">
    <field x="4"/>
  </rowFields>
  <rowItems count="11">
    <i>
      <x v="1"/>
    </i>
    <i>
      <x v="2"/>
    </i>
    <i>
      <x v="17"/>
    </i>
    <i>
      <x v="18"/>
    </i>
    <i>
      <x v="21"/>
    </i>
    <i>
      <x v="23"/>
    </i>
    <i>
      <x v="34"/>
    </i>
    <i>
      <x v="35"/>
    </i>
    <i>
      <x v="38"/>
    </i>
    <i>
      <x v="39"/>
    </i>
    <i t="grand">
      <x/>
    </i>
  </rowItems>
  <colItems count="1">
    <i/>
  </colItems>
  <dataFields count="1">
    <dataField name="Sum of Exposure (%)" fld="29" baseField="0" baseItem="0" numFmtId="4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52F4835-F914-41A5-91A0-6768B05B29A0}" name="PivotTable12" cacheId="414"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4">
  <location ref="I43:J47" firstHeaderRow="1" firstDataRow="1" firstDataCol="1"/>
  <pivotFields count="36">
    <pivotField compact="0" numFmtId="16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43" outline="0" showAll="0"/>
    <pivotField compact="0" numFmtId="43" outline="0" showAll="0"/>
    <pivotField compact="0" numFmtId="43" outline="0" showAll="0"/>
    <pivotField compact="0" numFmtId="43" outline="0" showAll="0"/>
    <pivotField compact="0" numFmtId="43" outline="0" showAll="0"/>
    <pivotField compact="0" numFmtId="43" outline="0" showAll="0"/>
    <pivotField compact="0" numFmtId="43" outline="0" showAll="0"/>
    <pivotField axis="axisRow" compact="0" outline="0" showAll="0">
      <items count="4">
        <item x="0"/>
        <item x="2"/>
        <item x="1"/>
        <item t="default"/>
      </items>
    </pivotField>
    <pivotField compact="0" outline="0" showAll="0"/>
    <pivotField compact="0" outline="0" showAll="0"/>
    <pivotField compact="0" outline="0" showAll="0"/>
    <pivotField compact="0" outline="0" showAll="0"/>
    <pivotField compact="0" outline="0" showAll="0"/>
    <pivotField compact="0" outline="0" showAll="0"/>
    <pivotField dataField="1"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1">
    <field x="22"/>
  </rowFields>
  <rowItems count="4">
    <i>
      <x/>
    </i>
    <i>
      <x v="1"/>
    </i>
    <i>
      <x v="2"/>
    </i>
    <i t="grand">
      <x/>
    </i>
  </rowItems>
  <colItems count="1">
    <i/>
  </colItems>
  <dataFields count="1">
    <dataField name="Sum of Exposure (%)" fld="29" baseField="0" baseItem="0" numFmtId="43"/>
  </dataFields>
  <chartFormats count="5">
    <chartFormat chart="0" format="0"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22" count="1" selected="0">
            <x v="0"/>
          </reference>
        </references>
      </pivotArea>
    </chartFormat>
    <chartFormat chart="3" format="7">
      <pivotArea type="data" outline="0" fieldPosition="0">
        <references count="2">
          <reference field="4294967294" count="1" selected="0">
            <x v="0"/>
          </reference>
          <reference field="22" count="1" selected="0">
            <x v="1"/>
          </reference>
        </references>
      </pivotArea>
    </chartFormat>
    <chartFormat chart="3" format="8">
      <pivotArea type="data" outline="0" fieldPosition="0">
        <references count="2">
          <reference field="4294967294" count="1" selected="0">
            <x v="0"/>
          </reference>
          <reference field="2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38A75A8-C380-4F1B-BC46-61895021FB57}" name="PivotTable13" cacheId="414"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4">
  <location ref="I50:J53" firstHeaderRow="1" firstDataRow="1" firstDataCol="1"/>
  <pivotFields count="36">
    <pivotField compact="0" numFmtId="16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43" outline="0" showAll="0"/>
    <pivotField compact="0" numFmtId="43" outline="0" showAll="0"/>
    <pivotField compact="0" numFmtId="43" outline="0" showAll="0"/>
    <pivotField compact="0" numFmtId="43" outline="0" showAll="0"/>
    <pivotField compact="0" numFmtId="43" outline="0" showAll="0"/>
    <pivotField compact="0" numFmtId="43" outline="0" showAll="0"/>
    <pivotField compact="0" numFmtId="43" outline="0" showAll="0"/>
    <pivotField compact="0" outline="0" showAll="0"/>
    <pivotField axis="axisRow"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dataField="1"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1">
    <field x="23"/>
  </rowFields>
  <rowItems count="3">
    <i>
      <x/>
    </i>
    <i>
      <x v="1"/>
    </i>
    <i t="grand">
      <x/>
    </i>
  </rowItems>
  <colItems count="1">
    <i/>
  </colItems>
  <dataFields count="1">
    <dataField name="Sum of Exposure (%)" fld="29" baseField="0" baseItem="0" numFmtId="43"/>
  </dataFields>
  <chartFormats count="4">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23" count="1" selected="0">
            <x v="0"/>
          </reference>
        </references>
      </pivotArea>
    </chartFormat>
    <chartFormat chart="3" format="6">
      <pivotArea type="data" outline="0" fieldPosition="0">
        <references count="2">
          <reference field="4294967294" count="1" selected="0">
            <x v="0"/>
          </reference>
          <reference field="2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23</v>
    <v>1</v>
  </rv>
</rvData>
</file>

<file path=xl/richData/rdrichvaluestructure.xml><?xml version="1.0" encoding="utf-8"?>
<rvStructures xmlns="http://schemas.microsoft.com/office/spreadsheetml/2017/richdata" count="1">
  <s t="_error">
    <k n="colOffset" t="i"/>
    <k n="errorType" t="i"/>
    <k n="rwOffset"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_Class31" xr10:uid="{EEF0789B-8286-4E71-B16D-E63CFB4BD72D}" sourceName="Asset Class">
  <pivotTables>
    <pivotTable tabId="46" name="PivotTable10"/>
  </pivotTables>
  <data>
    <tabular pivotCacheId="1812072771">
      <items count="7">
        <i x="5"/>
        <i x="0"/>
        <i x="1" s="1"/>
        <i x="4"/>
        <i x="6"/>
        <i x="3"/>
        <i x="2"/>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_Class41" xr10:uid="{FB1EE429-D5BF-4FD4-857D-63E8ABFB7022}" sourceName="Asset Class">
  <pivotTables>
    <pivotTable tabId="46" name="PivotTable11"/>
  </pivotTables>
  <data>
    <tabular pivotCacheId="1812072771">
      <items count="7">
        <i x="5"/>
        <i x="0"/>
        <i x="1"/>
        <i x="4"/>
        <i x="6"/>
        <i x="3"/>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sset Class 5" xr10:uid="{13915C05-23BE-4F9B-ADC1-5DD14BD21586}" cache="Slicer_Asset_Class31" caption="Asset Class" rowHeight="209550"/>
  <slicer name="Asset Class 6" xr10:uid="{F20386B0-B416-4EE6-B471-E5FC19CB8B4C}" cache="Slicer_Asset_Class41" caption="Asset Class"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236C2A97-B0CA-4D21-9EA3-B3995758BFE2}" name="Eligible" displayName="Eligible" ref="A2:B14" totalsRowShown="0" headerRowDxfId="92" tableBorderDxfId="91">
  <autoFilter ref="A2:B14" xr:uid="{236C2A97-B0CA-4D21-9EA3-B3995758BFE2}"/>
  <tableColumns count="2">
    <tableColumn id="1" xr3:uid="{CF376EA7-E8A7-4F84-9959-E34EABA5999C}" name="S. No." dataDxfId="90"/>
    <tableColumn id="2" xr3:uid="{039ED54F-984B-44D2-828B-3ED6C8D0924C}" name="Security Type" dataDxfId="8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849DD7-FFC1-49DF-8D6A-9C7E73120258}" name="Table1" displayName="Table1" ref="A1:AG177" totalsRowShown="0" headerRowDxfId="83" dataDxfId="81" headerRowBorderDxfId="82" tableBorderDxfId="80">
  <autoFilter ref="A1:AG177" xr:uid="{BD849DD7-FFC1-49DF-8D6A-9C7E73120258}"/>
  <tableColumns count="33">
    <tableColumn id="1" xr3:uid="{4AE1B5E7-95AC-49D3-AC08-1576DB1F3CE9}" name="As Of Date" dataDxfId="79"/>
    <tableColumn id="2" xr3:uid="{2442088B-711D-4B8E-B0FF-1350D6A72323}" name="Portfolio Name" dataDxfId="78"/>
    <tableColumn id="3" xr3:uid="{D4BDDAE2-4B5D-47CA-B602-A919F874FE36}" name="Regulation" dataDxfId="77"/>
    <tableColumn id="4" xr3:uid="{D7626974-5016-477F-BA70-15733B4803E6}" name="Base Currency" dataDxfId="76"/>
    <tableColumn id="5" xr3:uid="{200B4415-DC16-43B5-9EEE-6A5376EBCA05}" name="Security Name" dataDxfId="75"/>
    <tableColumn id="6" xr3:uid="{621574F8-5B10-4291-8305-1C3BD32BADB5}" name="Long/Short" dataDxfId="74"/>
    <tableColumn id="7" xr3:uid="{22221DAC-0369-422C-A39A-0EC47B342D23}" name="Counterparty Name" dataDxfId="73"/>
    <tableColumn id="8" xr3:uid="{37E70106-3EC8-4A89-8B47-01EE15A1D62F}" name="Local Currency (ISO Code)" dataDxfId="72"/>
    <tableColumn id="9" xr3:uid="{929EB632-6556-42AE-A3C7-80DEE25EB3AD}" name="Maturity Date" dataDxfId="71"/>
    <tableColumn id="10" xr3:uid="{A98BEF40-CCD8-4A00-B65C-B312B04F9DA0}" name="Asset Class" dataDxfId="70"/>
    <tableColumn id="11" xr3:uid="{539A41A4-85F4-4917-B306-7741AAF0FEA5}" name="Security Type" dataDxfId="69"/>
    <tableColumn id="12" xr3:uid="{A821F9BB-2B03-4894-BD93-66048714AD0C}" name="Issuer Name" dataDxfId="68"/>
    <tableColumn id="13" xr3:uid="{968AB36D-51C5-4AF2-935E-DBF2F18D765F}" name="Ultimate Parent Issuer Name" dataDxfId="67"/>
    <tableColumn id="14" xr3:uid="{094A893A-D623-4DEF-AA84-3EEEA34EC074}" name="Issuer Type" dataDxfId="66"/>
    <tableColumn id="15" xr3:uid="{27A6B3CE-2FFA-4AFC-BE7D-13BFC1EBB6ED}" name="Country of Origination" dataDxfId="65"/>
    <tableColumn id="16" xr3:uid="{4968D4A8-919D-4A1D-8A3C-98479CADB3F2}" name="Quantity EOD" dataDxfId="64" dataCellStyle="Comma"/>
    <tableColumn id="17" xr3:uid="{E4AD8985-3574-4D5A-BED5-6FA35BC5A42A}" name="Market Price Local Ccy" dataDxfId="63" dataCellStyle="Comma"/>
    <tableColumn id="18" xr3:uid="{76142333-81E7-425A-BB3B-E099508F342D}" name="fx_local_to_base" dataDxfId="62" dataCellStyle="Comma"/>
    <tableColumn id="19" xr3:uid="{375DD9AD-816E-43CF-B0C6-725244591D05}" name="Market Value Local Ccy" dataDxfId="61" dataCellStyle="Comma"/>
    <tableColumn id="20" xr3:uid="{8FB9BE9A-1D74-4CAC-B904-84BF40E5DB6B}" name="Market Value Base Ccy" dataDxfId="60" dataCellStyle="Comma"/>
    <tableColumn id="21" xr3:uid="{894622BF-33E5-4E2B-9ABD-C8FD3EB819A4}" name="Average Cost per unit Local Ccy" dataDxfId="59" dataCellStyle="Comma"/>
    <tableColumn id="22" xr3:uid="{9B0A9D7E-AA00-4E8A-9E9D-5F66F69C8D11}" name="Unrealized PnL Local Ccy" dataDxfId="58" dataCellStyle="Comma"/>
    <tableColumn id="23" xr3:uid="{048F16E6-FE79-4A50-9C3D-7CF6C683A0FA}" name="Unrealized PnL Base Ccy" dataDxfId="57" dataCellStyle="Comma"/>
    <tableColumn id="24" xr3:uid="{B56864DE-1946-4847-AC96-E7518E353E72}" name="Market Value in Base currency" dataDxfId="56" dataCellStyle="Comma"/>
    <tableColumn id="25" xr3:uid="{2C34585F-E346-40BA-89B5-F1C8F1B53F5B}" name="NAV Base Currency" dataDxfId="55" dataCellStyle="Comma"/>
    <tableColumn id="26" xr3:uid="{FC349170-40A3-42E7-86CC-3EA50E523F7C}" name="NAV Base Ccy" dataDxfId="54" dataCellStyle="Comma"/>
    <tableColumn id="27" xr3:uid="{5E057725-71E8-4067-9402-2C8E90AD0F7B}" name="Region" dataDxfId="53"/>
    <tableColumn id="28" xr3:uid="{62542048-E332-4966-AF69-6FAA8890A30E}" name="Region Classification" dataDxfId="52"/>
    <tableColumn id="29" xr3:uid="{AC0E7208-7AE7-4D63-B2CE-7D06904C83B1}" name="Coupon Rate" dataDxfId="51"/>
    <tableColumn id="30" xr3:uid="{3AEA5808-169D-4181-B529-4CFBC03DAD0A}" name="Current Amount Outstanding" dataDxfId="50" dataCellStyle="Comma"/>
    <tableColumn id="31" xr3:uid="{B0B8B953-3E11-4DED-8E3A-9612CE91ED6C}" name="Underlier Security Name" dataDxfId="49"/>
    <tableColumn id="32" xr3:uid="{E051C2D6-8953-4D06-BA3C-40B6C3D14EFB}" name="Underlier Asset Class" dataDxfId="48"/>
    <tableColumn id="33" xr3:uid="{E63E94FA-8253-4B35-A030-02B60117AF66}" name="Underlier Security Type" dataDxfId="4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A0D61A4-1407-499A-993C-25B1BDD46C41}" name="Table2" displayName="Table2" ref="XEL4:XEM209" totalsRowShown="0" headerRowDxfId="42" dataDxfId="41">
  <autoFilter ref="XEL4:XEM209" xr:uid="{EA0D61A4-1407-499A-993C-25B1BDD46C41}"/>
  <tableColumns count="2">
    <tableColumn id="1" xr3:uid="{065D7A22-81DE-44E1-B13B-82D82E60EB8D}" name="Rule Category (Level 1)" dataDxfId="40">
      <calculatedColumnFormula>C3</calculatedColumnFormula>
    </tableColumn>
    <tableColumn id="2" xr3:uid="{4D53D7A7-A448-4B6C-AB5E-BC9237B1328C}" name="Rule Category (Level 2)" dataDxfId="39">
      <calculatedColumnFormula>D3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20C4B8C-0C90-4B89-9947-A1FB6705E50A}" name="Table9" displayName="Table9" ref="B2:AD46" totalsRowShown="0" headerRowDxfId="30" dataDxfId="29" tableBorderDxfId="28">
  <autoFilter ref="B2:AD46" xr:uid="{920C4B8C-0C90-4B89-9947-A1FB6705E50A}"/>
  <tableColumns count="29">
    <tableColumn id="1" xr3:uid="{A034D3AF-7C35-4C00-92A9-958B5498CAD1}" name="As Of Date" dataDxfId="27"/>
    <tableColumn id="2" xr3:uid="{B66E0792-F101-4689-9D73-72C76DAB8C6A}" name="Portfolio Name" dataDxfId="26"/>
    <tableColumn id="3" xr3:uid="{38E201D4-BE89-4028-A07D-414F45FA8BB4}" name="Regulation" dataDxfId="25"/>
    <tableColumn id="4" xr3:uid="{F943C4B0-9CC7-4D8D-B1D6-5ED6D89B8936}" name="Base Currency" dataDxfId="24"/>
    <tableColumn id="5" xr3:uid="{63595486-930C-41EB-AE02-EFC7B4C44D2D}" name="Security Name" dataDxfId="23"/>
    <tableColumn id="6" xr3:uid="{41FE70E7-4E99-4D0E-B3E0-F72EA064B85F}" name="Long/Short" dataDxfId="22"/>
    <tableColumn id="7" xr3:uid="{5EBE0BDA-CFFF-4F2F-ADE5-28BF993E054D}" name="Counterparty Name" dataDxfId="21"/>
    <tableColumn id="8" xr3:uid="{326DE5A8-16D4-45E9-92E0-77CB2740FE6E}" name="Local Currency (ISO Code)" dataDxfId="20"/>
    <tableColumn id="9" xr3:uid="{086F03EB-D259-433F-B0E2-AA3E5FC79AF7}" name="Maturity Date" dataDxfId="19"/>
    <tableColumn id="10" xr3:uid="{7BD5CC6E-7976-4414-85B5-9FE9306A4846}" name="Asset Class" dataDxfId="18"/>
    <tableColumn id="11" xr3:uid="{E824EA28-FA14-4EB6-8C0F-BC1C83C673EF}" name="Security Type" dataDxfId="17"/>
    <tableColumn id="12" xr3:uid="{E7963BAC-6BBC-41FE-8A89-E23D74F28968}" name="Issuer Name" dataDxfId="16"/>
    <tableColumn id="13" xr3:uid="{861BC91F-36AC-4365-B145-0AB90CA54CD2}" name="Ultimate Parent Issuer Name" dataDxfId="15"/>
    <tableColumn id="14" xr3:uid="{FACB292E-E6B2-4358-8470-79AFFABF9AD8}" name="Issuer Type" dataDxfId="14"/>
    <tableColumn id="15" xr3:uid="{D8500B8A-13E7-4619-82A6-F2D5815A4915}" name="Country of Origination" dataDxfId="13"/>
    <tableColumn id="16" xr3:uid="{85F81169-4D6C-46C8-A86B-65225C08A14A}" name="Quantity EOD" dataDxfId="12" dataCellStyle="Comma 2"/>
    <tableColumn id="17" xr3:uid="{49964858-FFA0-43AC-85A7-3EA1005DADD0}" name="Market Price Local Ccy" dataDxfId="11" dataCellStyle="Comma 2"/>
    <tableColumn id="18" xr3:uid="{8F8DACAB-999D-4240-8B6A-C8D77539934F}" name="fx_local_to_base" dataDxfId="10" dataCellStyle="Comma 2"/>
    <tableColumn id="19" xr3:uid="{52D7FDE3-9FC4-48EB-9A31-11D9DBA3B9C9}" name="Market Value Local Ccy" dataDxfId="9" dataCellStyle="Comma">
      <calculatedColumnFormula>V3</calculatedColumnFormula>
    </tableColumn>
    <tableColumn id="20" xr3:uid="{7F1FD8D1-DFC1-4CD2-81C4-A99F527405A3}" name="Average Cost per unit Local Ccy" dataDxfId="8" dataCellStyle="Comma"/>
    <tableColumn id="21" xr3:uid="{3AAA73FA-8676-4E53-B3B6-3951A003F211}" name="Unrealized PnL Local Ccy" dataDxfId="7" dataCellStyle="Comma">
      <calculatedColumnFormula>Q3*(R3-U3)</calculatedColumnFormula>
    </tableColumn>
    <tableColumn id="22" xr3:uid="{EF918A76-37EB-4836-8D02-4F18567377BC}" name="NAV Local Ccy" dataDxfId="6" dataCellStyle="Comma 2">
      <calculatedColumnFormula>SUM($T$3:$T$993)</calculatedColumnFormula>
    </tableColumn>
    <tableColumn id="23" xr3:uid="{8497E503-4137-44C0-8473-BC6F19C9328D}" name="Region" dataDxfId="5"/>
    <tableColumn id="24" xr3:uid="{F7843D8A-E83C-4727-8DC3-3FAB30C1D201}" name="Region Classification" dataDxfId="4"/>
    <tableColumn id="25" xr3:uid="{61631A94-B82A-4BCE-B4CE-5660428176D7}" name="Coupon Rate"/>
    <tableColumn id="26" xr3:uid="{869A03F0-E398-4CC8-9135-7D655DA1BA45}" name="Current Amount Outstanding" dataDxfId="3"/>
    <tableColumn id="27" xr3:uid="{B91DD58D-D88B-42D3-9E70-4ECF34D01384}" name="Underlier Security Name" dataDxfId="2"/>
    <tableColumn id="28" xr3:uid="{934B341E-0F4B-4365-83FB-CC02DAC8B282}" name="Underlier Asset Class" dataDxfId="1"/>
    <tableColumn id="29" xr3:uid="{02253E8B-2A96-48B5-A2A3-1BB7984AB9D0}" name="Underlier Security Type" dataDxfId="0"/>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8" Type="http://schemas.openxmlformats.org/officeDocument/2006/relationships/drawing" Target="../drawings/drawing10.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I16"/>
  <sheetViews>
    <sheetView showGridLines="0" workbookViewId="0">
      <selection activeCell="D24" sqref="D24"/>
    </sheetView>
  </sheetViews>
  <sheetFormatPr defaultColWidth="12.44140625" defaultRowHeight="15.75" customHeight="1"/>
  <cols>
    <col min="1" max="8" width="12.44140625" style="2"/>
    <col min="9" max="9" width="35.44140625" style="2" customWidth="1"/>
    <col min="10" max="16384" width="12.44140625" style="2"/>
  </cols>
  <sheetData>
    <row r="1" spans="1:9" ht="76.5" customHeight="1"/>
    <row r="2" spans="1:9" ht="15.75" customHeight="1">
      <c r="A2" s="183" t="s">
        <v>256</v>
      </c>
      <c r="B2" s="184"/>
      <c r="C2" s="184"/>
      <c r="D2" s="184"/>
      <c r="E2" s="184"/>
      <c r="F2" s="184"/>
      <c r="G2" s="184"/>
      <c r="H2" s="184"/>
      <c r="I2" s="184"/>
    </row>
    <row r="3" spans="1:9" ht="15.75" customHeight="1">
      <c r="A3" s="184"/>
      <c r="B3" s="184"/>
      <c r="C3" s="184"/>
      <c r="D3" s="184"/>
      <c r="E3" s="184"/>
      <c r="F3" s="184"/>
      <c r="G3" s="184"/>
      <c r="H3" s="184"/>
      <c r="I3" s="184"/>
    </row>
    <row r="4" spans="1:9" ht="15.75" customHeight="1">
      <c r="A4" s="184"/>
      <c r="B4" s="184"/>
      <c r="C4" s="184"/>
      <c r="D4" s="184"/>
      <c r="E4" s="184"/>
      <c r="F4" s="184"/>
      <c r="G4" s="184"/>
      <c r="H4" s="184"/>
      <c r="I4" s="184"/>
    </row>
    <row r="5" spans="1:9" ht="15.75" customHeight="1">
      <c r="A5" s="184"/>
      <c r="B5" s="184"/>
      <c r="C5" s="184"/>
      <c r="D5" s="184"/>
      <c r="E5" s="184"/>
      <c r="F5" s="184"/>
      <c r="G5" s="184"/>
      <c r="H5" s="184"/>
      <c r="I5" s="184"/>
    </row>
    <row r="6" spans="1:9" ht="15.75" customHeight="1">
      <c r="A6" s="184"/>
      <c r="B6" s="184"/>
      <c r="C6" s="184"/>
      <c r="D6" s="184"/>
      <c r="E6" s="184"/>
      <c r="F6" s="184"/>
      <c r="G6" s="184"/>
      <c r="H6" s="184"/>
      <c r="I6" s="184"/>
    </row>
    <row r="7" spans="1:9" ht="15.75" customHeight="1">
      <c r="A7" s="184"/>
      <c r="B7" s="184"/>
      <c r="C7" s="184"/>
      <c r="D7" s="184"/>
      <c r="E7" s="184"/>
      <c r="F7" s="184"/>
      <c r="G7" s="184"/>
      <c r="H7" s="184"/>
      <c r="I7" s="184"/>
    </row>
    <row r="8" spans="1:9" ht="15.75" customHeight="1">
      <c r="A8" s="184"/>
      <c r="B8" s="184"/>
      <c r="C8" s="184"/>
      <c r="D8" s="184"/>
      <c r="E8" s="184"/>
      <c r="F8" s="184"/>
      <c r="G8" s="184"/>
      <c r="H8" s="184"/>
      <c r="I8" s="184"/>
    </row>
    <row r="9" spans="1:9" ht="15.75" customHeight="1">
      <c r="A9" s="184"/>
      <c r="B9" s="184"/>
      <c r="C9" s="184"/>
      <c r="D9" s="184"/>
      <c r="E9" s="184"/>
      <c r="F9" s="184"/>
      <c r="G9" s="184"/>
      <c r="H9" s="184"/>
      <c r="I9" s="184"/>
    </row>
    <row r="10" spans="1:9" ht="15.75" customHeight="1">
      <c r="A10" s="184"/>
      <c r="B10" s="184"/>
      <c r="C10" s="184"/>
      <c r="D10" s="184"/>
      <c r="E10" s="184"/>
      <c r="F10" s="184"/>
      <c r="G10" s="184"/>
      <c r="H10" s="184"/>
      <c r="I10" s="184"/>
    </row>
    <row r="11" spans="1:9" ht="15.75" customHeight="1">
      <c r="A11" s="184"/>
      <c r="B11" s="184"/>
      <c r="C11" s="184"/>
      <c r="D11" s="184"/>
      <c r="E11" s="184"/>
      <c r="F11" s="184"/>
      <c r="G11" s="184"/>
      <c r="H11" s="184"/>
      <c r="I11" s="184"/>
    </row>
    <row r="12" spans="1:9" ht="15.75" customHeight="1">
      <c r="A12" s="184"/>
      <c r="B12" s="184"/>
      <c r="C12" s="184"/>
      <c r="D12" s="184"/>
      <c r="E12" s="184"/>
      <c r="F12" s="184"/>
      <c r="G12" s="184"/>
      <c r="H12" s="184"/>
      <c r="I12" s="184"/>
    </row>
    <row r="13" spans="1:9" ht="15.75" customHeight="1">
      <c r="A13" s="184"/>
      <c r="B13" s="184"/>
      <c r="C13" s="184"/>
      <c r="D13" s="184"/>
      <c r="E13" s="184"/>
      <c r="F13" s="184"/>
      <c r="G13" s="184"/>
      <c r="H13" s="184"/>
      <c r="I13" s="184"/>
    </row>
    <row r="14" spans="1:9" ht="15.75" customHeight="1">
      <c r="A14" s="184"/>
      <c r="B14" s="184"/>
      <c r="C14" s="184"/>
      <c r="D14" s="184"/>
      <c r="E14" s="184"/>
      <c r="F14" s="184"/>
      <c r="G14" s="184"/>
      <c r="H14" s="184"/>
      <c r="I14" s="184"/>
    </row>
    <row r="15" spans="1:9" ht="15.75" customHeight="1">
      <c r="A15" s="184"/>
      <c r="B15" s="184"/>
      <c r="C15" s="184"/>
      <c r="D15" s="184"/>
      <c r="E15" s="184"/>
      <c r="F15" s="184"/>
      <c r="G15" s="184"/>
      <c r="H15" s="184"/>
      <c r="I15" s="184"/>
    </row>
    <row r="16" spans="1:9" ht="15.75" customHeight="1">
      <c r="A16" s="184"/>
      <c r="B16" s="184"/>
      <c r="C16" s="184"/>
      <c r="D16" s="184"/>
      <c r="E16" s="184"/>
      <c r="F16" s="184"/>
      <c r="G16" s="184"/>
      <c r="H16" s="184"/>
      <c r="I16" s="184"/>
    </row>
  </sheetData>
  <mergeCells count="1">
    <mergeCell ref="A2:I1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1:B20"/>
  <sheetViews>
    <sheetView showGridLines="0" workbookViewId="0">
      <selection activeCell="E8" sqref="E8"/>
    </sheetView>
  </sheetViews>
  <sheetFormatPr defaultColWidth="12.44140625" defaultRowHeight="15.75" customHeight="1"/>
  <cols>
    <col min="1" max="1" width="8.5546875" style="2" customWidth="1"/>
    <col min="2" max="2" width="27.44140625" style="2" customWidth="1"/>
    <col min="3" max="16384" width="12.44140625" style="2"/>
  </cols>
  <sheetData>
    <row r="1" spans="1:2" ht="77.099999999999994" customHeight="1"/>
    <row r="2" spans="1:2" ht="15.75" customHeight="1">
      <c r="A2" s="147" t="s">
        <v>1</v>
      </c>
      <c r="B2" s="148" t="s">
        <v>32</v>
      </c>
    </row>
    <row r="3" spans="1:2" ht="15.75" customHeight="1">
      <c r="A3" s="145">
        <v>1</v>
      </c>
      <c r="B3" s="144" t="s">
        <v>33</v>
      </c>
    </row>
    <row r="4" spans="1:2" ht="15.75" customHeight="1">
      <c r="A4" s="146">
        <v>2</v>
      </c>
      <c r="B4" s="143" t="s">
        <v>34</v>
      </c>
    </row>
    <row r="5" spans="1:2" ht="15.75" customHeight="1">
      <c r="A5" s="145">
        <v>3</v>
      </c>
      <c r="B5" s="144" t="s">
        <v>35</v>
      </c>
    </row>
    <row r="6" spans="1:2" ht="15.75" customHeight="1">
      <c r="A6" s="146">
        <v>4</v>
      </c>
      <c r="B6" s="143" t="s">
        <v>36</v>
      </c>
    </row>
    <row r="7" spans="1:2" ht="15.75" customHeight="1">
      <c r="A7" s="145">
        <v>5</v>
      </c>
      <c r="B7" s="144" t="s">
        <v>37</v>
      </c>
    </row>
    <row r="8" spans="1:2" ht="15.75" customHeight="1">
      <c r="A8" s="146">
        <v>6</v>
      </c>
      <c r="B8" s="143" t="s">
        <v>38</v>
      </c>
    </row>
    <row r="9" spans="1:2" ht="15.75" customHeight="1">
      <c r="A9" s="145">
        <v>7</v>
      </c>
      <c r="B9" s="144" t="s">
        <v>39</v>
      </c>
    </row>
    <row r="10" spans="1:2" ht="15.75" customHeight="1">
      <c r="A10" s="146">
        <v>8</v>
      </c>
      <c r="B10" s="143" t="s">
        <v>40</v>
      </c>
    </row>
    <row r="11" spans="1:2" ht="15.75" customHeight="1">
      <c r="A11" s="145">
        <v>9</v>
      </c>
      <c r="B11" s="144" t="s">
        <v>41</v>
      </c>
    </row>
    <row r="12" spans="1:2" ht="15.75" customHeight="1">
      <c r="A12" s="146">
        <v>10</v>
      </c>
      <c r="B12" s="143" t="s">
        <v>42</v>
      </c>
    </row>
    <row r="13" spans="1:2" ht="15.75" customHeight="1">
      <c r="A13" s="145">
        <v>11</v>
      </c>
      <c r="B13" s="144" t="s">
        <v>43</v>
      </c>
    </row>
    <row r="14" spans="1:2" ht="15.75" customHeight="1">
      <c r="A14" s="146">
        <v>12</v>
      </c>
      <c r="B14" s="143" t="s">
        <v>44</v>
      </c>
    </row>
    <row r="18" spans="1:2" ht="15.75" customHeight="1">
      <c r="A18" s="185" t="s">
        <v>45</v>
      </c>
      <c r="B18" s="186"/>
    </row>
    <row r="19" spans="1:2" ht="15.75" customHeight="1">
      <c r="A19" s="186"/>
      <c r="B19" s="186"/>
    </row>
    <row r="20" spans="1:2" ht="15.75" customHeight="1">
      <c r="A20" s="186"/>
      <c r="B20" s="186"/>
    </row>
  </sheetData>
  <mergeCells count="1">
    <mergeCell ref="A18:B20"/>
  </mergeCell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1:C31"/>
  <sheetViews>
    <sheetView showGridLines="0" zoomScale="85" zoomScaleNormal="85" workbookViewId="0"/>
  </sheetViews>
  <sheetFormatPr defaultColWidth="12.44140625" defaultRowHeight="14.4"/>
  <cols>
    <col min="1" max="1" width="29.5546875" style="1" bestFit="1" customWidth="1"/>
    <col min="2" max="2" width="31.109375" style="1" bestFit="1" customWidth="1"/>
    <col min="3" max="3" width="111.33203125" style="1" bestFit="1" customWidth="1"/>
    <col min="4" max="16384" width="12.44140625" style="1"/>
  </cols>
  <sheetData>
    <row r="1" spans="1:3" ht="75" customHeight="1">
      <c r="A1" s="163"/>
    </row>
    <row r="2" spans="1:3">
      <c r="A2" s="163"/>
      <c r="B2" s="12" t="s">
        <v>46</v>
      </c>
      <c r="C2" s="8" t="s">
        <v>47</v>
      </c>
    </row>
    <row r="3" spans="1:3">
      <c r="A3" s="163"/>
      <c r="B3" s="9" t="s">
        <v>48</v>
      </c>
      <c r="C3" s="10" t="s">
        <v>49</v>
      </c>
    </row>
    <row r="4" spans="1:3">
      <c r="A4" s="163"/>
      <c r="B4" s="9" t="s">
        <v>50</v>
      </c>
      <c r="C4" s="10" t="s">
        <v>51</v>
      </c>
    </row>
    <row r="5" spans="1:3">
      <c r="A5" s="163"/>
      <c r="B5" s="9" t="s">
        <v>19</v>
      </c>
      <c r="C5" s="10" t="s">
        <v>52</v>
      </c>
    </row>
    <row r="6" spans="1:3">
      <c r="A6" s="163"/>
      <c r="B6" s="9" t="s">
        <v>53</v>
      </c>
      <c r="C6" s="10" t="s">
        <v>54</v>
      </c>
    </row>
    <row r="7" spans="1:3">
      <c r="A7" s="163"/>
      <c r="B7" s="9" t="s">
        <v>55</v>
      </c>
      <c r="C7" s="10" t="s">
        <v>56</v>
      </c>
    </row>
    <row r="8" spans="1:3">
      <c r="A8" s="163"/>
      <c r="B8" s="9" t="s">
        <v>57</v>
      </c>
      <c r="C8" s="10" t="s">
        <v>58</v>
      </c>
    </row>
    <row r="9" spans="1:3">
      <c r="A9" s="163"/>
      <c r="B9" s="9" t="s">
        <v>59</v>
      </c>
      <c r="C9" s="10" t="s">
        <v>60</v>
      </c>
    </row>
    <row r="10" spans="1:3">
      <c r="A10" s="163"/>
      <c r="B10" s="9" t="s">
        <v>61</v>
      </c>
      <c r="C10" s="10" t="s">
        <v>62</v>
      </c>
    </row>
    <row r="11" spans="1:3">
      <c r="A11" s="163"/>
      <c r="B11" s="9" t="s">
        <v>63</v>
      </c>
      <c r="C11" s="10" t="s">
        <v>64</v>
      </c>
    </row>
    <row r="12" spans="1:3">
      <c r="A12" s="163"/>
      <c r="B12" s="9" t="s">
        <v>65</v>
      </c>
      <c r="C12" s="10" t="s">
        <v>66</v>
      </c>
    </row>
    <row r="13" spans="1:3">
      <c r="A13" s="163"/>
      <c r="B13" s="9" t="s">
        <v>32</v>
      </c>
      <c r="C13" s="10" t="s">
        <v>261</v>
      </c>
    </row>
    <row r="14" spans="1:3">
      <c r="A14" s="163"/>
      <c r="B14" s="9" t="s">
        <v>67</v>
      </c>
      <c r="C14" s="10" t="s">
        <v>68</v>
      </c>
    </row>
    <row r="15" spans="1:3">
      <c r="A15" s="163"/>
      <c r="B15" s="9" t="s">
        <v>69</v>
      </c>
      <c r="C15" s="11" t="s">
        <v>254</v>
      </c>
    </row>
    <row r="16" spans="1:3">
      <c r="A16" s="163"/>
      <c r="B16" s="9" t="s">
        <v>93</v>
      </c>
      <c r="C16" s="11" t="s">
        <v>262</v>
      </c>
    </row>
    <row r="17" spans="1:3">
      <c r="A17" s="163"/>
      <c r="B17" s="9" t="s">
        <v>70</v>
      </c>
      <c r="C17" s="10" t="s">
        <v>71</v>
      </c>
    </row>
    <row r="18" spans="1:3">
      <c r="A18" s="163"/>
      <c r="B18" s="9" t="s">
        <v>72</v>
      </c>
      <c r="C18" s="10" t="s">
        <v>73</v>
      </c>
    </row>
    <row r="19" spans="1:3">
      <c r="A19" s="163"/>
      <c r="B19" s="9" t="s">
        <v>74</v>
      </c>
      <c r="C19" s="10" t="s">
        <v>75</v>
      </c>
    </row>
    <row r="20" spans="1:3" ht="27.6">
      <c r="A20" s="163"/>
      <c r="B20" s="9" t="s">
        <v>76</v>
      </c>
      <c r="C20" s="11" t="s">
        <v>77</v>
      </c>
    </row>
    <row r="21" spans="1:3">
      <c r="A21" s="163"/>
      <c r="B21" s="9" t="s">
        <v>78</v>
      </c>
      <c r="C21" s="10" t="s">
        <v>79</v>
      </c>
    </row>
    <row r="22" spans="1:3">
      <c r="A22" s="163"/>
      <c r="B22" s="9" t="s">
        <v>80</v>
      </c>
      <c r="C22" s="10" t="s">
        <v>81</v>
      </c>
    </row>
    <row r="23" spans="1:3">
      <c r="A23" s="163"/>
      <c r="B23" s="9" t="s">
        <v>82</v>
      </c>
      <c r="C23" s="10" t="s">
        <v>83</v>
      </c>
    </row>
    <row r="24" spans="1:3">
      <c r="A24" s="163"/>
      <c r="B24" s="9" t="s">
        <v>84</v>
      </c>
      <c r="C24" s="10" t="s">
        <v>85</v>
      </c>
    </row>
    <row r="25" spans="1:3">
      <c r="A25" s="163"/>
      <c r="B25" s="9" t="s">
        <v>86</v>
      </c>
      <c r="C25" s="10" t="s">
        <v>87</v>
      </c>
    </row>
    <row r="26" spans="1:3">
      <c r="A26" s="163"/>
      <c r="B26" s="9" t="s">
        <v>88</v>
      </c>
      <c r="C26" s="10" t="s">
        <v>89</v>
      </c>
    </row>
    <row r="27" spans="1:3">
      <c r="A27" s="163"/>
      <c r="B27" s="9" t="s">
        <v>94</v>
      </c>
      <c r="C27" s="10" t="s">
        <v>257</v>
      </c>
    </row>
    <row r="28" spans="1:3">
      <c r="B28" s="10" t="s">
        <v>90</v>
      </c>
      <c r="C28" s="10" t="s">
        <v>91</v>
      </c>
    </row>
    <row r="29" spans="1:3">
      <c r="B29" s="9" t="s">
        <v>95</v>
      </c>
      <c r="C29" s="10" t="s">
        <v>258</v>
      </c>
    </row>
    <row r="30" spans="1:3">
      <c r="B30" s="9" t="s">
        <v>96</v>
      </c>
      <c r="C30" s="10" t="s">
        <v>259</v>
      </c>
    </row>
    <row r="31" spans="1:3">
      <c r="B31" s="9" t="s">
        <v>97</v>
      </c>
      <c r="C31" s="10" t="s">
        <v>260</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outlinePr summaryBelow="0" summaryRight="0"/>
  </sheetPr>
  <dimension ref="A1:AT177"/>
  <sheetViews>
    <sheetView showGridLines="0" zoomScale="87" zoomScaleNormal="70" workbookViewId="0">
      <pane ySplit="1" topLeftCell="A2" activePane="bottomLeft" state="frozen"/>
      <selection pane="bottomLeft"/>
    </sheetView>
  </sheetViews>
  <sheetFormatPr defaultColWidth="13.44140625" defaultRowHeight="14.4"/>
  <cols>
    <col min="1" max="1" width="13.44140625" style="4" customWidth="1"/>
    <col min="2" max="2" width="27.44140625" style="4" customWidth="1"/>
    <col min="3" max="3" width="14.44140625" style="4" customWidth="1"/>
    <col min="4" max="4" width="17.44140625" style="4" customWidth="1"/>
    <col min="5" max="5" width="34.44140625" style="4" customWidth="1"/>
    <col min="6" max="6" width="15" style="4" customWidth="1"/>
    <col min="7" max="7" width="21.77734375" style="4" customWidth="1"/>
    <col min="8" max="8" width="27.77734375" style="4" customWidth="1"/>
    <col min="9" max="9" width="17.21875" style="4" customWidth="1"/>
    <col min="10" max="10" width="16.44140625" style="4" customWidth="1"/>
    <col min="11" max="11" width="18.44140625" style="4" bestFit="1" customWidth="1"/>
    <col min="12" max="13" width="31.5546875" style="4" bestFit="1" customWidth="1"/>
    <col min="14" max="14" width="21.44140625" style="4" bestFit="1" customWidth="1"/>
    <col min="15" max="15" width="23.109375" style="4" customWidth="1"/>
    <col min="16" max="16" width="16.44140625" style="19" bestFit="1" customWidth="1"/>
    <col min="17" max="17" width="25.5546875" style="19" customWidth="1"/>
    <col min="18" max="18" width="20" style="19" customWidth="1"/>
    <col min="19" max="19" width="25.88671875" style="19" customWidth="1"/>
    <col min="20" max="20" width="31.88671875" style="19" customWidth="1"/>
    <col min="21" max="21" width="34.21875" style="19" customWidth="1"/>
    <col min="22" max="22" width="28.109375" style="19" customWidth="1"/>
    <col min="23" max="23" width="27.77734375" style="19" customWidth="1"/>
    <col min="24" max="24" width="32.5546875" style="19" customWidth="1"/>
    <col min="25" max="25" width="24" style="19" customWidth="1"/>
    <col min="26" max="26" width="18.109375" style="19" bestFit="1" customWidth="1"/>
    <col min="27" max="27" width="13.77734375" style="4" bestFit="1" customWidth="1"/>
    <col min="28" max="28" width="22.77734375" style="4" customWidth="1"/>
    <col min="29" max="29" width="15" style="4" customWidth="1"/>
    <col min="30" max="30" width="30.33203125" style="19" customWidth="1"/>
    <col min="31" max="31" width="36.44140625" style="4" bestFit="1" customWidth="1"/>
    <col min="32" max="32" width="23.6640625" style="4" customWidth="1"/>
    <col min="33" max="33" width="24.44140625" style="4" customWidth="1"/>
    <col min="34" max="16384" width="13.44140625" style="4"/>
  </cols>
  <sheetData>
    <row r="1" spans="1:46">
      <c r="A1" s="52" t="s">
        <v>48</v>
      </c>
      <c r="B1" s="52" t="s">
        <v>50</v>
      </c>
      <c r="C1" s="52" t="s">
        <v>19</v>
      </c>
      <c r="D1" s="52" t="s">
        <v>53</v>
      </c>
      <c r="E1" s="52" t="s">
        <v>55</v>
      </c>
      <c r="F1" s="52" t="s">
        <v>57</v>
      </c>
      <c r="G1" s="52" t="s">
        <v>59</v>
      </c>
      <c r="H1" s="52" t="s">
        <v>92</v>
      </c>
      <c r="I1" s="52" t="s">
        <v>63</v>
      </c>
      <c r="J1" s="52" t="s">
        <v>65</v>
      </c>
      <c r="K1" s="52" t="s">
        <v>32</v>
      </c>
      <c r="L1" s="52" t="s">
        <v>67</v>
      </c>
      <c r="M1" s="52" t="s">
        <v>69</v>
      </c>
      <c r="N1" s="52" t="s">
        <v>93</v>
      </c>
      <c r="O1" s="52" t="s">
        <v>70</v>
      </c>
      <c r="P1" s="53" t="s">
        <v>72</v>
      </c>
      <c r="Q1" s="53" t="s">
        <v>74</v>
      </c>
      <c r="R1" s="53" t="s">
        <v>76</v>
      </c>
      <c r="S1" s="53" t="s">
        <v>78</v>
      </c>
      <c r="T1" s="53" t="s">
        <v>264</v>
      </c>
      <c r="U1" s="53" t="s">
        <v>80</v>
      </c>
      <c r="V1" s="53" t="s">
        <v>82</v>
      </c>
      <c r="W1" s="53" t="s">
        <v>266</v>
      </c>
      <c r="X1" s="53" t="s">
        <v>272</v>
      </c>
      <c r="Y1" s="53" t="s">
        <v>273</v>
      </c>
      <c r="Z1" s="53" t="s">
        <v>265</v>
      </c>
      <c r="AA1" s="52" t="s">
        <v>86</v>
      </c>
      <c r="AB1" s="52" t="s">
        <v>88</v>
      </c>
      <c r="AC1" s="54" t="s">
        <v>94</v>
      </c>
      <c r="AD1" s="55" t="s">
        <v>90</v>
      </c>
      <c r="AE1" s="54" t="s">
        <v>95</v>
      </c>
      <c r="AF1" s="54" t="s">
        <v>96</v>
      </c>
      <c r="AG1" s="54" t="s">
        <v>97</v>
      </c>
      <c r="AT1" s="5"/>
    </row>
    <row r="2" spans="1:46">
      <c r="A2" s="18">
        <v>45503</v>
      </c>
      <c r="B2" s="14" t="s">
        <v>98</v>
      </c>
      <c r="C2" s="14" t="s">
        <v>99</v>
      </c>
      <c r="D2" s="14" t="s">
        <v>100</v>
      </c>
      <c r="E2" s="14" t="s">
        <v>101</v>
      </c>
      <c r="F2" s="14" t="s">
        <v>102</v>
      </c>
      <c r="G2" s="14" t="s">
        <v>103</v>
      </c>
      <c r="H2" s="14" t="s">
        <v>104</v>
      </c>
      <c r="I2" s="14" t="s">
        <v>103</v>
      </c>
      <c r="J2" s="14" t="s">
        <v>105</v>
      </c>
      <c r="K2" s="14" t="s">
        <v>33</v>
      </c>
      <c r="L2" s="14" t="s">
        <v>106</v>
      </c>
      <c r="M2" s="14" t="s">
        <v>106</v>
      </c>
      <c r="N2" s="14" t="s">
        <v>107</v>
      </c>
      <c r="O2" s="14" t="s">
        <v>108</v>
      </c>
      <c r="P2" s="20">
        <f>430621</f>
        <v>430621</v>
      </c>
      <c r="Q2" s="20">
        <v>124.14</v>
      </c>
      <c r="R2" s="20">
        <v>0.12</v>
      </c>
      <c r="S2" s="20">
        <f>P2*Q2</f>
        <v>53457290.939999998</v>
      </c>
      <c r="T2" s="20">
        <f>S2*R2</f>
        <v>6414874.9127999991</v>
      </c>
      <c r="U2" s="20">
        <v>110.12</v>
      </c>
      <c r="V2" s="20">
        <f t="shared" ref="V2:V8" si="0">P2*(Q2-U2)</f>
        <v>6037306.4199999981</v>
      </c>
      <c r="W2" s="20">
        <f>V2*R2</f>
        <v>724476.77039999969</v>
      </c>
      <c r="X2" s="23">
        <v>6414874.9127999991</v>
      </c>
      <c r="Y2" s="23">
        <v>73969121.366501987</v>
      </c>
      <c r="Z2" s="20">
        <f t="shared" ref="Z2:Z45" si="1">SUM(T:T)</f>
        <v>1465904787.9398179</v>
      </c>
      <c r="AA2" s="14" t="s">
        <v>109</v>
      </c>
      <c r="AB2" s="14" t="s">
        <v>110</v>
      </c>
      <c r="AC2" s="14" t="s">
        <v>103</v>
      </c>
      <c r="AD2" s="20" t="s">
        <v>103</v>
      </c>
      <c r="AE2" s="14" t="s">
        <v>103</v>
      </c>
      <c r="AF2" s="14" t="s">
        <v>103</v>
      </c>
      <c r="AG2" s="14" t="s">
        <v>103</v>
      </c>
      <c r="AT2" s="5"/>
    </row>
    <row r="3" spans="1:46">
      <c r="A3" s="18">
        <v>45503</v>
      </c>
      <c r="B3" s="14" t="s">
        <v>98</v>
      </c>
      <c r="C3" s="14" t="s">
        <v>99</v>
      </c>
      <c r="D3" s="14" t="s">
        <v>100</v>
      </c>
      <c r="E3" s="14" t="s">
        <v>111</v>
      </c>
      <c r="F3" s="14" t="s">
        <v>112</v>
      </c>
      <c r="G3" s="14" t="s">
        <v>103</v>
      </c>
      <c r="H3" s="14" t="s">
        <v>113</v>
      </c>
      <c r="I3" s="14" t="s">
        <v>103</v>
      </c>
      <c r="J3" s="14" t="s">
        <v>105</v>
      </c>
      <c r="K3" s="14" t="s">
        <v>33</v>
      </c>
      <c r="L3" s="14" t="s">
        <v>114</v>
      </c>
      <c r="M3" s="14" t="s">
        <v>114</v>
      </c>
      <c r="N3" s="14" t="s">
        <v>107</v>
      </c>
      <c r="O3" s="14" t="s">
        <v>115</v>
      </c>
      <c r="P3" s="20">
        <f>-3207104*0.02</f>
        <v>-64142.080000000002</v>
      </c>
      <c r="Q3" s="20">
        <v>75.22</v>
      </c>
      <c r="R3" s="20">
        <v>0.92</v>
      </c>
      <c r="S3" s="20">
        <f t="shared" ref="S3:S8" si="2">P3*Q3</f>
        <v>-4824767.2576000001</v>
      </c>
      <c r="T3" s="20">
        <f t="shared" ref="T3:T45" si="3">S3*R3</f>
        <v>-4438785.8769920003</v>
      </c>
      <c r="U3" s="20">
        <v>73.2</v>
      </c>
      <c r="V3" s="20">
        <f t="shared" si="0"/>
        <v>-129567.00159999974</v>
      </c>
      <c r="W3" s="20">
        <f t="shared" ref="W3:W45" si="4">V3*R3</f>
        <v>-119201.64147199977</v>
      </c>
      <c r="X3" s="20">
        <v>-4438785.8769920003</v>
      </c>
      <c r="Y3" s="20">
        <v>567096597.14318192</v>
      </c>
      <c r="Z3" s="20">
        <f t="shared" si="1"/>
        <v>1465904787.9398179</v>
      </c>
      <c r="AA3" s="14" t="s">
        <v>116</v>
      </c>
      <c r="AB3" s="14" t="s">
        <v>117</v>
      </c>
      <c r="AC3" s="14" t="s">
        <v>103</v>
      </c>
      <c r="AD3" s="20" t="s">
        <v>103</v>
      </c>
      <c r="AE3" s="14" t="s">
        <v>103</v>
      </c>
      <c r="AF3" s="14" t="s">
        <v>103</v>
      </c>
      <c r="AG3" s="14" t="s">
        <v>103</v>
      </c>
      <c r="AT3" s="5"/>
    </row>
    <row r="4" spans="1:46">
      <c r="A4" s="18">
        <v>45503</v>
      </c>
      <c r="B4" s="14" t="s">
        <v>98</v>
      </c>
      <c r="C4" s="14" t="s">
        <v>99</v>
      </c>
      <c r="D4" s="14" t="s">
        <v>100</v>
      </c>
      <c r="E4" s="14" t="s">
        <v>118</v>
      </c>
      <c r="F4" s="14" t="s">
        <v>102</v>
      </c>
      <c r="G4" s="14" t="s">
        <v>103</v>
      </c>
      <c r="H4" s="14" t="s">
        <v>119</v>
      </c>
      <c r="I4" s="14" t="s">
        <v>103</v>
      </c>
      <c r="J4" s="14" t="s">
        <v>105</v>
      </c>
      <c r="K4" s="14" t="s">
        <v>34</v>
      </c>
      <c r="L4" s="14" t="s">
        <v>120</v>
      </c>
      <c r="M4" s="14" t="s">
        <v>121</v>
      </c>
      <c r="N4" s="14" t="s">
        <v>107</v>
      </c>
      <c r="O4" s="14" t="s">
        <v>122</v>
      </c>
      <c r="P4" s="20">
        <f>14226329*0.008</f>
        <v>113810.632</v>
      </c>
      <c r="Q4" s="20">
        <v>598.15</v>
      </c>
      <c r="R4" s="20">
        <v>6.7000000000000004E-2</v>
      </c>
      <c r="S4" s="20">
        <f t="shared" si="2"/>
        <v>68075829.5308</v>
      </c>
      <c r="T4" s="20">
        <f t="shared" si="3"/>
        <v>4561080.5785635998</v>
      </c>
      <c r="U4" s="20">
        <v>596.33000000000004</v>
      </c>
      <c r="V4" s="20">
        <f t="shared" si="0"/>
        <v>207135.35023999275</v>
      </c>
      <c r="W4" s="20">
        <f t="shared" si="4"/>
        <v>13878.068466079516</v>
      </c>
      <c r="X4" s="23">
        <v>4561080.5785635998</v>
      </c>
      <c r="Y4" s="23">
        <v>41299426.096296944</v>
      </c>
      <c r="Z4" s="20">
        <f t="shared" si="1"/>
        <v>1465904787.9398179</v>
      </c>
      <c r="AA4" s="14" t="s">
        <v>109</v>
      </c>
      <c r="AB4" s="14" t="s">
        <v>110</v>
      </c>
      <c r="AC4" s="14" t="s">
        <v>103</v>
      </c>
      <c r="AD4" s="20" t="s">
        <v>103</v>
      </c>
      <c r="AE4" s="15" t="s">
        <v>123</v>
      </c>
      <c r="AF4" s="14" t="s">
        <v>105</v>
      </c>
      <c r="AG4" s="14" t="s">
        <v>33</v>
      </c>
    </row>
    <row r="5" spans="1:46">
      <c r="A5" s="18">
        <v>45503</v>
      </c>
      <c r="B5" s="14" t="s">
        <v>98</v>
      </c>
      <c r="C5" s="14" t="s">
        <v>99</v>
      </c>
      <c r="D5" s="14" t="s">
        <v>100</v>
      </c>
      <c r="E5" s="14" t="s">
        <v>124</v>
      </c>
      <c r="F5" s="14" t="s">
        <v>102</v>
      </c>
      <c r="G5" s="14" t="s">
        <v>103</v>
      </c>
      <c r="H5" s="14" t="s">
        <v>100</v>
      </c>
      <c r="I5" s="13">
        <v>47253</v>
      </c>
      <c r="J5" s="14" t="s">
        <v>125</v>
      </c>
      <c r="K5" s="14" t="s">
        <v>126</v>
      </c>
      <c r="L5" s="14" t="s">
        <v>127</v>
      </c>
      <c r="M5" s="14" t="s">
        <v>128</v>
      </c>
      <c r="N5" s="14" t="s">
        <v>107</v>
      </c>
      <c r="O5" s="14" t="s">
        <v>129</v>
      </c>
      <c r="P5" s="20">
        <v>232396.5</v>
      </c>
      <c r="Q5" s="20">
        <v>100.09</v>
      </c>
      <c r="R5" s="20">
        <v>1</v>
      </c>
      <c r="S5" s="20">
        <f t="shared" si="2"/>
        <v>23260565.685000002</v>
      </c>
      <c r="T5" s="20">
        <f t="shared" si="3"/>
        <v>23260565.685000002</v>
      </c>
      <c r="U5" s="20">
        <v>100.4</v>
      </c>
      <c r="V5" s="20">
        <f t="shared" si="0"/>
        <v>-72042.915000000532</v>
      </c>
      <c r="W5" s="20">
        <f t="shared" si="4"/>
        <v>-72042.915000000532</v>
      </c>
      <c r="X5" s="20">
        <v>23260565.685000002</v>
      </c>
      <c r="Y5" s="20">
        <v>616409344.72084987</v>
      </c>
      <c r="Z5" s="20">
        <f t="shared" si="1"/>
        <v>1465904787.9398179</v>
      </c>
      <c r="AA5" s="14" t="s">
        <v>130</v>
      </c>
      <c r="AB5" s="14" t="s">
        <v>117</v>
      </c>
      <c r="AC5" s="16">
        <v>4.5999999999999999E-2</v>
      </c>
      <c r="AD5" s="20">
        <v>54195500</v>
      </c>
      <c r="AE5" s="14" t="s">
        <v>103</v>
      </c>
      <c r="AF5" s="14" t="s">
        <v>103</v>
      </c>
      <c r="AG5" s="14" t="s">
        <v>103</v>
      </c>
    </row>
    <row r="6" spans="1:46">
      <c r="A6" s="18">
        <v>45503</v>
      </c>
      <c r="B6" s="14" t="s">
        <v>98</v>
      </c>
      <c r="C6" s="14" t="s">
        <v>99</v>
      </c>
      <c r="D6" s="14" t="s">
        <v>100</v>
      </c>
      <c r="E6" s="14" t="s">
        <v>131</v>
      </c>
      <c r="F6" s="14" t="s">
        <v>102</v>
      </c>
      <c r="G6" s="14" t="s">
        <v>103</v>
      </c>
      <c r="H6" s="14" t="s">
        <v>113</v>
      </c>
      <c r="I6" s="13">
        <v>49095</v>
      </c>
      <c r="J6" s="14" t="s">
        <v>125</v>
      </c>
      <c r="K6" s="14" t="s">
        <v>132</v>
      </c>
      <c r="L6" s="14" t="s">
        <v>133</v>
      </c>
      <c r="M6" s="14" t="s">
        <v>134</v>
      </c>
      <c r="N6" s="14" t="s">
        <v>135</v>
      </c>
      <c r="O6" s="14" t="s">
        <v>115</v>
      </c>
      <c r="P6" s="20">
        <v>250731.25</v>
      </c>
      <c r="Q6" s="20">
        <v>96.78</v>
      </c>
      <c r="R6" s="20">
        <v>0.92</v>
      </c>
      <c r="S6" s="20">
        <f t="shared" si="2"/>
        <v>24265770.375</v>
      </c>
      <c r="T6" s="20">
        <f t="shared" si="3"/>
        <v>22324508.745000001</v>
      </c>
      <c r="U6" s="20">
        <v>94.3</v>
      </c>
      <c r="V6" s="20">
        <f t="shared" si="0"/>
        <v>621813.50000000105</v>
      </c>
      <c r="W6" s="20">
        <f t="shared" si="4"/>
        <v>572068.42000000097</v>
      </c>
      <c r="X6" s="23">
        <v>22324508.745000005</v>
      </c>
      <c r="Y6" s="23">
        <v>567096597.14318192</v>
      </c>
      <c r="Z6" s="20">
        <f t="shared" si="1"/>
        <v>1465904787.9398179</v>
      </c>
      <c r="AA6" s="14" t="s">
        <v>116</v>
      </c>
      <c r="AB6" s="14" t="s">
        <v>117</v>
      </c>
      <c r="AC6" s="16">
        <v>2.4E-2</v>
      </c>
      <c r="AD6" s="20">
        <f>P6/0.001</f>
        <v>250731250</v>
      </c>
      <c r="AE6" s="14" t="s">
        <v>103</v>
      </c>
      <c r="AF6" s="14" t="s">
        <v>103</v>
      </c>
      <c r="AG6" s="14" t="s">
        <v>103</v>
      </c>
      <c r="AT6" s="5"/>
    </row>
    <row r="7" spans="1:46">
      <c r="A7" s="18">
        <v>45503</v>
      </c>
      <c r="B7" s="14" t="s">
        <v>98</v>
      </c>
      <c r="C7" s="14" t="s">
        <v>99</v>
      </c>
      <c r="D7" s="14" t="s">
        <v>100</v>
      </c>
      <c r="E7" s="14" t="s">
        <v>136</v>
      </c>
      <c r="F7" s="14" t="s">
        <v>102</v>
      </c>
      <c r="G7" s="14" t="s">
        <v>103</v>
      </c>
      <c r="H7" s="14" t="s">
        <v>137</v>
      </c>
      <c r="I7" s="14" t="s">
        <v>103</v>
      </c>
      <c r="J7" s="14" t="s">
        <v>105</v>
      </c>
      <c r="K7" s="14" t="s">
        <v>33</v>
      </c>
      <c r="L7" s="14" t="s">
        <v>138</v>
      </c>
      <c r="M7" s="14" t="s">
        <v>139</v>
      </c>
      <c r="N7" s="14" t="s">
        <v>107</v>
      </c>
      <c r="O7" s="14" t="s">
        <v>140</v>
      </c>
      <c r="P7" s="20">
        <v>179604.25</v>
      </c>
      <c r="Q7" s="20">
        <v>849.12</v>
      </c>
      <c r="R7" s="20">
        <v>7.0000000000000001E-3</v>
      </c>
      <c r="S7" s="20">
        <f t="shared" si="2"/>
        <v>152505560.75999999</v>
      </c>
      <c r="T7" s="20">
        <f t="shared" si="3"/>
        <v>1067538.9253199999</v>
      </c>
      <c r="U7" s="20">
        <v>870.26</v>
      </c>
      <c r="V7" s="20">
        <f t="shared" si="0"/>
        <v>-3796833.8449999974</v>
      </c>
      <c r="W7" s="20">
        <f t="shared" si="4"/>
        <v>-26577.836914999982</v>
      </c>
      <c r="X7" s="20">
        <v>1067538.9253199999</v>
      </c>
      <c r="Y7" s="20">
        <v>4314865.4130459493</v>
      </c>
      <c r="Z7" s="20">
        <f t="shared" si="1"/>
        <v>1465904787.9398179</v>
      </c>
      <c r="AA7" s="14" t="s">
        <v>109</v>
      </c>
      <c r="AB7" s="14" t="s">
        <v>110</v>
      </c>
      <c r="AC7" s="14" t="s">
        <v>103</v>
      </c>
      <c r="AD7" s="20" t="s">
        <v>103</v>
      </c>
      <c r="AE7" s="14" t="s">
        <v>103</v>
      </c>
      <c r="AF7" s="14" t="s">
        <v>103</v>
      </c>
      <c r="AG7" s="14" t="s">
        <v>103</v>
      </c>
      <c r="AT7" s="5"/>
    </row>
    <row r="8" spans="1:46">
      <c r="A8" s="18">
        <v>45503</v>
      </c>
      <c r="B8" s="14" t="s">
        <v>98</v>
      </c>
      <c r="C8" s="14" t="s">
        <v>99</v>
      </c>
      <c r="D8" s="14" t="s">
        <v>100</v>
      </c>
      <c r="E8" s="14" t="s">
        <v>141</v>
      </c>
      <c r="F8" s="14" t="s">
        <v>102</v>
      </c>
      <c r="G8" s="14" t="s">
        <v>103</v>
      </c>
      <c r="H8" s="14" t="s">
        <v>100</v>
      </c>
      <c r="I8" s="13">
        <v>46234</v>
      </c>
      <c r="J8" s="14" t="s">
        <v>105</v>
      </c>
      <c r="K8" s="14" t="s">
        <v>35</v>
      </c>
      <c r="L8" s="14" t="s">
        <v>142</v>
      </c>
      <c r="M8" s="14" t="s">
        <v>142</v>
      </c>
      <c r="N8" s="14" t="s">
        <v>107</v>
      </c>
      <c r="O8" s="14" t="s">
        <v>143</v>
      </c>
      <c r="P8" s="20">
        <v>2550578.25</v>
      </c>
      <c r="Q8" s="20">
        <v>0.9</v>
      </c>
      <c r="R8" s="20">
        <v>1</v>
      </c>
      <c r="S8" s="20">
        <f t="shared" si="2"/>
        <v>2295520.4250000003</v>
      </c>
      <c r="T8" s="20">
        <f t="shared" si="3"/>
        <v>2295520.4250000003</v>
      </c>
      <c r="U8" s="20">
        <v>0.91</v>
      </c>
      <c r="V8" s="20">
        <f t="shared" si="0"/>
        <v>-25505.782500000023</v>
      </c>
      <c r="W8" s="20">
        <f t="shared" si="4"/>
        <v>-25505.782500000023</v>
      </c>
      <c r="X8" s="23">
        <v>2295520.4250000003</v>
      </c>
      <c r="Y8" s="23">
        <v>616409344.72084987</v>
      </c>
      <c r="Z8" s="20">
        <f t="shared" si="1"/>
        <v>1465904787.9398179</v>
      </c>
      <c r="AA8" s="14" t="s">
        <v>130</v>
      </c>
      <c r="AB8" s="14" t="s">
        <v>117</v>
      </c>
      <c r="AC8" s="14" t="s">
        <v>103</v>
      </c>
      <c r="AD8" s="20" t="s">
        <v>103</v>
      </c>
      <c r="AE8" s="14" t="s">
        <v>144</v>
      </c>
      <c r="AF8" s="14" t="s">
        <v>105</v>
      </c>
      <c r="AG8" s="14" t="s">
        <v>33</v>
      </c>
    </row>
    <row r="9" spans="1:46">
      <c r="A9" s="18">
        <v>45503</v>
      </c>
      <c r="B9" s="14" t="s">
        <v>98</v>
      </c>
      <c r="C9" s="14" t="s">
        <v>99</v>
      </c>
      <c r="D9" s="14" t="s">
        <v>100</v>
      </c>
      <c r="E9" s="14" t="s">
        <v>145</v>
      </c>
      <c r="F9" s="14" t="s">
        <v>102</v>
      </c>
      <c r="G9" s="14" t="s">
        <v>146</v>
      </c>
      <c r="H9" s="14" t="s">
        <v>113</v>
      </c>
      <c r="I9" s="13">
        <v>45646</v>
      </c>
      <c r="J9" s="14" t="s">
        <v>147</v>
      </c>
      <c r="K9" s="14" t="s">
        <v>148</v>
      </c>
      <c r="L9" s="14" t="s">
        <v>28</v>
      </c>
      <c r="M9" s="14" t="s">
        <v>28</v>
      </c>
      <c r="N9" s="14" t="s">
        <v>103</v>
      </c>
      <c r="O9" s="14" t="s">
        <v>115</v>
      </c>
      <c r="P9" s="20">
        <v>5991000</v>
      </c>
      <c r="Q9" s="20">
        <v>34.119999999999997</v>
      </c>
      <c r="R9" s="20">
        <v>0.92</v>
      </c>
      <c r="S9" s="20">
        <f>V9</f>
        <v>-119820</v>
      </c>
      <c r="T9" s="20">
        <f t="shared" si="3"/>
        <v>-110234.40000000001</v>
      </c>
      <c r="U9" s="20">
        <v>36.119999999999997</v>
      </c>
      <c r="V9" s="20">
        <f>P9*(Q9-U9)/100</f>
        <v>-119820</v>
      </c>
      <c r="W9" s="20">
        <f t="shared" si="4"/>
        <v>-110234.40000000001</v>
      </c>
      <c r="X9" s="20">
        <v>188059886.40000001</v>
      </c>
      <c r="Y9" s="20">
        <v>567096597.14318192</v>
      </c>
      <c r="Z9" s="20">
        <f t="shared" si="1"/>
        <v>1465904787.9398179</v>
      </c>
      <c r="AA9" s="14" t="s">
        <v>116</v>
      </c>
      <c r="AB9" s="14" t="s">
        <v>117</v>
      </c>
      <c r="AC9" s="17">
        <v>4.2999999999999997E-2</v>
      </c>
      <c r="AD9" s="20" t="s">
        <v>103</v>
      </c>
      <c r="AE9" s="14" t="s">
        <v>149</v>
      </c>
      <c r="AF9" s="14" t="s">
        <v>125</v>
      </c>
      <c r="AG9" s="14" t="s">
        <v>150</v>
      </c>
    </row>
    <row r="10" spans="1:46">
      <c r="A10" s="18">
        <v>45503</v>
      </c>
      <c r="B10" s="14" t="s">
        <v>98</v>
      </c>
      <c r="C10" s="14" t="s">
        <v>99</v>
      </c>
      <c r="D10" s="14" t="s">
        <v>100</v>
      </c>
      <c r="E10" s="14" t="s">
        <v>151</v>
      </c>
      <c r="F10" s="14" t="s">
        <v>112</v>
      </c>
      <c r="G10" s="14" t="s">
        <v>103</v>
      </c>
      <c r="H10" s="14" t="s">
        <v>100</v>
      </c>
      <c r="I10" s="13">
        <v>49125</v>
      </c>
      <c r="J10" s="14" t="s">
        <v>125</v>
      </c>
      <c r="K10" s="14" t="s">
        <v>126</v>
      </c>
      <c r="L10" s="14" t="s">
        <v>152</v>
      </c>
      <c r="M10" s="14" t="s">
        <v>152</v>
      </c>
      <c r="N10" s="14" t="s">
        <v>107</v>
      </c>
      <c r="O10" s="14" t="s">
        <v>153</v>
      </c>
      <c r="P10" s="20">
        <v>-262708.25</v>
      </c>
      <c r="Q10" s="20">
        <v>107.83</v>
      </c>
      <c r="R10" s="20">
        <v>1</v>
      </c>
      <c r="S10" s="20">
        <f t="shared" ref="S10:S11" si="5">P10*Q10</f>
        <v>-28327830.5975</v>
      </c>
      <c r="T10" s="20">
        <f t="shared" si="3"/>
        <v>-28327830.5975</v>
      </c>
      <c r="U10" s="20">
        <v>107.2</v>
      </c>
      <c r="V10" s="20">
        <f t="shared" ref="V10:V11" si="6">P10*(Q10-U10)</f>
        <v>-165506.19749999882</v>
      </c>
      <c r="W10" s="20">
        <f t="shared" si="4"/>
        <v>-165506.19749999882</v>
      </c>
      <c r="X10" s="23">
        <v>-28327830.5975</v>
      </c>
      <c r="Y10" s="23">
        <v>616409344.72084987</v>
      </c>
      <c r="Z10" s="20">
        <f t="shared" si="1"/>
        <v>1465904787.9398179</v>
      </c>
      <c r="AA10" s="14" t="s">
        <v>130</v>
      </c>
      <c r="AB10" s="14" t="s">
        <v>117</v>
      </c>
      <c r="AC10" s="16">
        <v>2.9000000000000001E-2</v>
      </c>
      <c r="AD10" s="20">
        <v>6567700</v>
      </c>
      <c r="AE10" s="14" t="s">
        <v>103</v>
      </c>
      <c r="AF10" s="14" t="s">
        <v>103</v>
      </c>
      <c r="AG10" s="14" t="s">
        <v>103</v>
      </c>
      <c r="AT10" s="5"/>
    </row>
    <row r="11" spans="1:46">
      <c r="A11" s="18">
        <v>45503</v>
      </c>
      <c r="B11" s="14" t="s">
        <v>98</v>
      </c>
      <c r="C11" s="14" t="s">
        <v>99</v>
      </c>
      <c r="D11" s="14" t="s">
        <v>100</v>
      </c>
      <c r="E11" s="14" t="s">
        <v>154</v>
      </c>
      <c r="F11" s="14" t="s">
        <v>102</v>
      </c>
      <c r="G11" s="14" t="s">
        <v>103</v>
      </c>
      <c r="H11" s="14" t="s">
        <v>100</v>
      </c>
      <c r="I11" s="14" t="s">
        <v>103</v>
      </c>
      <c r="J11" s="14" t="s">
        <v>105</v>
      </c>
      <c r="K11" s="14" t="s">
        <v>36</v>
      </c>
      <c r="L11" s="14" t="s">
        <v>155</v>
      </c>
      <c r="M11" s="14" t="s">
        <v>155</v>
      </c>
      <c r="N11" s="14" t="s">
        <v>107</v>
      </c>
      <c r="O11" s="14" t="s">
        <v>115</v>
      </c>
      <c r="P11" s="20">
        <v>96000</v>
      </c>
      <c r="Q11" s="20">
        <v>4.6500000000000004</v>
      </c>
      <c r="R11" s="20">
        <v>0.92</v>
      </c>
      <c r="S11" s="20">
        <f t="shared" si="5"/>
        <v>446400.00000000006</v>
      </c>
      <c r="T11" s="20">
        <f t="shared" si="3"/>
        <v>410688.00000000006</v>
      </c>
      <c r="U11" s="20">
        <v>4.2</v>
      </c>
      <c r="V11" s="20">
        <f t="shared" si="6"/>
        <v>43200.000000000015</v>
      </c>
      <c r="W11" s="20">
        <f t="shared" si="4"/>
        <v>39744.000000000015</v>
      </c>
      <c r="X11" s="20">
        <v>410688.00000000006</v>
      </c>
      <c r="Y11" s="20">
        <v>567096597.14318192</v>
      </c>
      <c r="Z11" s="20">
        <f t="shared" si="1"/>
        <v>1465904787.9398179</v>
      </c>
      <c r="AA11" s="14" t="s">
        <v>116</v>
      </c>
      <c r="AB11" s="14" t="s">
        <v>117</v>
      </c>
      <c r="AC11" s="14" t="s">
        <v>103</v>
      </c>
      <c r="AD11" s="20" t="s">
        <v>103</v>
      </c>
      <c r="AE11" s="14" t="s">
        <v>103</v>
      </c>
      <c r="AF11" s="14" t="s">
        <v>103</v>
      </c>
      <c r="AG11" s="14" t="s">
        <v>103</v>
      </c>
    </row>
    <row r="12" spans="1:46">
      <c r="A12" s="18">
        <v>45503</v>
      </c>
      <c r="B12" s="14" t="s">
        <v>98</v>
      </c>
      <c r="C12" s="14" t="s">
        <v>99</v>
      </c>
      <c r="D12" s="14" t="s">
        <v>100</v>
      </c>
      <c r="E12" s="14" t="s">
        <v>156</v>
      </c>
      <c r="F12" s="14" t="s">
        <v>102</v>
      </c>
      <c r="G12" s="14" t="s">
        <v>157</v>
      </c>
      <c r="H12" s="14" t="s">
        <v>113</v>
      </c>
      <c r="I12" s="13">
        <v>45709</v>
      </c>
      <c r="J12" s="14" t="s">
        <v>147</v>
      </c>
      <c r="K12" s="14" t="s">
        <v>148</v>
      </c>
      <c r="L12" s="14" t="s">
        <v>28</v>
      </c>
      <c r="M12" s="14" t="s">
        <v>28</v>
      </c>
      <c r="N12" s="14" t="s">
        <v>103</v>
      </c>
      <c r="O12" s="14" t="s">
        <v>115</v>
      </c>
      <c r="P12" s="20">
        <v>7655432</v>
      </c>
      <c r="Q12" s="20">
        <v>42.76</v>
      </c>
      <c r="R12" s="20">
        <v>0.92</v>
      </c>
      <c r="S12" s="20">
        <f>V12</f>
        <v>154639.72639999969</v>
      </c>
      <c r="T12" s="20">
        <f t="shared" si="3"/>
        <v>142268.54828799973</v>
      </c>
      <c r="U12" s="20">
        <v>40.74</v>
      </c>
      <c r="V12" s="20">
        <f>P12*(Q12-U12)/100</f>
        <v>154639.72639999969</v>
      </c>
      <c r="W12" s="20">
        <f t="shared" si="4"/>
        <v>142268.54828799973</v>
      </c>
      <c r="X12" s="23">
        <v>301158570.53439999</v>
      </c>
      <c r="Y12" s="23">
        <v>567096597.14318192</v>
      </c>
      <c r="Z12" s="20">
        <f t="shared" si="1"/>
        <v>1465904787.9398179</v>
      </c>
      <c r="AA12" s="14" t="s">
        <v>130</v>
      </c>
      <c r="AB12" s="14" t="s">
        <v>117</v>
      </c>
      <c r="AC12" s="17">
        <v>4.3999999999999997E-2</v>
      </c>
      <c r="AD12" s="20" t="s">
        <v>103</v>
      </c>
      <c r="AE12" s="14" t="s">
        <v>158</v>
      </c>
      <c r="AF12" s="14" t="s">
        <v>125</v>
      </c>
      <c r="AG12" s="14" t="s">
        <v>159</v>
      </c>
    </row>
    <row r="13" spans="1:46">
      <c r="A13" s="18">
        <v>45503</v>
      </c>
      <c r="B13" s="14" t="s">
        <v>98</v>
      </c>
      <c r="C13" s="14" t="s">
        <v>99</v>
      </c>
      <c r="D13" s="14" t="s">
        <v>100</v>
      </c>
      <c r="E13" s="14" t="s">
        <v>160</v>
      </c>
      <c r="F13" s="14" t="s">
        <v>102</v>
      </c>
      <c r="G13" s="14" t="s">
        <v>103</v>
      </c>
      <c r="H13" s="14" t="s">
        <v>113</v>
      </c>
      <c r="I13" s="13">
        <v>46295</v>
      </c>
      <c r="J13" s="14" t="s">
        <v>125</v>
      </c>
      <c r="K13" s="14" t="s">
        <v>126</v>
      </c>
      <c r="L13" s="14" t="s">
        <v>161</v>
      </c>
      <c r="M13" s="14" t="s">
        <v>161</v>
      </c>
      <c r="N13" s="14" t="s">
        <v>107</v>
      </c>
      <c r="O13" s="14" t="s">
        <v>115</v>
      </c>
      <c r="P13" s="20">
        <v>265431.25</v>
      </c>
      <c r="Q13" s="20">
        <v>109.23</v>
      </c>
      <c r="R13" s="20">
        <v>0.92</v>
      </c>
      <c r="S13" s="20">
        <f t="shared" ref="S13:S21" si="7">P13*Q13</f>
        <v>28993055.4375</v>
      </c>
      <c r="T13" s="20">
        <f t="shared" si="3"/>
        <v>26673611.002500001</v>
      </c>
      <c r="U13" s="20">
        <v>109.4</v>
      </c>
      <c r="V13" s="20">
        <f t="shared" ref="V13:V36" si="8">P13*(Q13-U13)</f>
        <v>-45123.312500000451</v>
      </c>
      <c r="W13" s="20">
        <f t="shared" si="4"/>
        <v>-41513.447500000417</v>
      </c>
      <c r="X13" s="20">
        <v>26673611.002500001</v>
      </c>
      <c r="Y13" s="20">
        <v>567096597.14318192</v>
      </c>
      <c r="Z13" s="20">
        <f t="shared" si="1"/>
        <v>1465904787.9398179</v>
      </c>
      <c r="AA13" s="14" t="s">
        <v>116</v>
      </c>
      <c r="AB13" s="14" t="s">
        <v>117</v>
      </c>
      <c r="AC13" s="16">
        <v>4.4999999999999998E-2</v>
      </c>
      <c r="AD13" s="20">
        <v>8538000</v>
      </c>
      <c r="AE13" s="14" t="s">
        <v>103</v>
      </c>
      <c r="AF13" s="14" t="s">
        <v>103</v>
      </c>
      <c r="AG13" s="14" t="s">
        <v>103</v>
      </c>
    </row>
    <row r="14" spans="1:46">
      <c r="A14" s="18">
        <v>45503</v>
      </c>
      <c r="B14" s="14" t="s">
        <v>98</v>
      </c>
      <c r="C14" s="14" t="s">
        <v>99</v>
      </c>
      <c r="D14" s="14" t="s">
        <v>100</v>
      </c>
      <c r="E14" s="14" t="s">
        <v>162</v>
      </c>
      <c r="F14" s="14" t="s">
        <v>112</v>
      </c>
      <c r="G14" s="14" t="s">
        <v>163</v>
      </c>
      <c r="H14" s="14" t="s">
        <v>113</v>
      </c>
      <c r="I14" s="13">
        <v>45562</v>
      </c>
      <c r="J14" s="14" t="s">
        <v>164</v>
      </c>
      <c r="K14" s="14" t="s">
        <v>37</v>
      </c>
      <c r="L14" s="14" t="s">
        <v>165</v>
      </c>
      <c r="M14" s="14" t="s">
        <v>166</v>
      </c>
      <c r="N14" s="14" t="s">
        <v>103</v>
      </c>
      <c r="O14" s="14" t="s">
        <v>115</v>
      </c>
      <c r="P14" s="20">
        <v>2767113.75</v>
      </c>
      <c r="Q14" s="20">
        <v>2.4</v>
      </c>
      <c r="R14" s="20">
        <v>0.92</v>
      </c>
      <c r="S14" s="20">
        <f t="shared" si="7"/>
        <v>6641073</v>
      </c>
      <c r="T14" s="20">
        <f t="shared" si="3"/>
        <v>6109787.1600000001</v>
      </c>
      <c r="U14" s="20">
        <v>2.1</v>
      </c>
      <c r="V14" s="20">
        <f t="shared" si="8"/>
        <v>830134.12499999953</v>
      </c>
      <c r="W14" s="20">
        <f t="shared" si="4"/>
        <v>763723.39499999955</v>
      </c>
      <c r="X14" s="23">
        <v>6109787.1600000001</v>
      </c>
      <c r="Y14" s="23">
        <v>567096597.14318192</v>
      </c>
      <c r="Z14" s="20">
        <f t="shared" si="1"/>
        <v>1465904787.9398179</v>
      </c>
      <c r="AA14" s="14" t="s">
        <v>116</v>
      </c>
      <c r="AB14" s="14" t="s">
        <v>117</v>
      </c>
      <c r="AC14" s="14" t="s">
        <v>103</v>
      </c>
      <c r="AD14" s="20" t="s">
        <v>103</v>
      </c>
      <c r="AE14" s="14" t="s">
        <v>167</v>
      </c>
      <c r="AF14" s="14" t="s">
        <v>105</v>
      </c>
      <c r="AG14" s="14" t="s">
        <v>33</v>
      </c>
      <c r="AT14" s="5"/>
    </row>
    <row r="15" spans="1:46">
      <c r="A15" s="18">
        <v>45503</v>
      </c>
      <c r="B15" s="14" t="s">
        <v>98</v>
      </c>
      <c r="C15" s="14" t="s">
        <v>99</v>
      </c>
      <c r="D15" s="14" t="s">
        <v>100</v>
      </c>
      <c r="E15" s="14" t="s">
        <v>168</v>
      </c>
      <c r="F15" s="14" t="s">
        <v>102</v>
      </c>
      <c r="G15" s="14" t="s">
        <v>103</v>
      </c>
      <c r="H15" s="14" t="s">
        <v>169</v>
      </c>
      <c r="I15" s="14" t="s">
        <v>103</v>
      </c>
      <c r="J15" s="14" t="s">
        <v>105</v>
      </c>
      <c r="K15" s="14" t="s">
        <v>33</v>
      </c>
      <c r="L15" s="14" t="s">
        <v>170</v>
      </c>
      <c r="M15" s="14" t="s">
        <v>170</v>
      </c>
      <c r="N15" s="14" t="s">
        <v>107</v>
      </c>
      <c r="O15" s="14" t="s">
        <v>153</v>
      </c>
      <c r="P15" s="20">
        <v>19218.2</v>
      </c>
      <c r="Q15" s="20">
        <v>76.400000000000006</v>
      </c>
      <c r="R15" s="20">
        <v>1.1499999999999999</v>
      </c>
      <c r="S15" s="20">
        <f t="shared" si="7"/>
        <v>1468270.4800000002</v>
      </c>
      <c r="T15" s="20">
        <f t="shared" si="3"/>
        <v>1688511.0520000001</v>
      </c>
      <c r="U15" s="20">
        <v>73.11</v>
      </c>
      <c r="V15" s="20">
        <f t="shared" si="8"/>
        <v>63227.878000000121</v>
      </c>
      <c r="W15" s="20">
        <f t="shared" si="4"/>
        <v>72712.059700000129</v>
      </c>
      <c r="X15" s="20">
        <v>1688511.0520000001</v>
      </c>
      <c r="Y15" s="20">
        <v>708870746.42897725</v>
      </c>
      <c r="Z15" s="20">
        <f t="shared" si="1"/>
        <v>1465904787.9398179</v>
      </c>
      <c r="AA15" s="14" t="s">
        <v>130</v>
      </c>
      <c r="AB15" s="14" t="s">
        <v>117</v>
      </c>
      <c r="AC15" s="14" t="s">
        <v>103</v>
      </c>
      <c r="AD15" s="20" t="s">
        <v>103</v>
      </c>
      <c r="AE15" s="14" t="s">
        <v>103</v>
      </c>
      <c r="AF15" s="14" t="s">
        <v>103</v>
      </c>
      <c r="AG15" s="14" t="s">
        <v>103</v>
      </c>
    </row>
    <row r="16" spans="1:46">
      <c r="A16" s="18">
        <v>45503</v>
      </c>
      <c r="B16" s="14" t="s">
        <v>98</v>
      </c>
      <c r="C16" s="14" t="s">
        <v>99</v>
      </c>
      <c r="D16" s="14" t="s">
        <v>100</v>
      </c>
      <c r="E16" s="14" t="s">
        <v>171</v>
      </c>
      <c r="F16" s="14" t="s">
        <v>102</v>
      </c>
      <c r="G16" s="14" t="s">
        <v>172</v>
      </c>
      <c r="H16" s="14" t="s">
        <v>113</v>
      </c>
      <c r="I16" s="13">
        <v>45562</v>
      </c>
      <c r="J16" s="14" t="s">
        <v>164</v>
      </c>
      <c r="K16" s="14" t="s">
        <v>41</v>
      </c>
      <c r="L16" s="14" t="s">
        <v>173</v>
      </c>
      <c r="M16" s="14" t="s">
        <v>173</v>
      </c>
      <c r="N16" s="14" t="s">
        <v>103</v>
      </c>
      <c r="O16" s="14" t="s">
        <v>115</v>
      </c>
      <c r="P16" s="20">
        <v>2465433.5</v>
      </c>
      <c r="Q16" s="20">
        <v>3.5</v>
      </c>
      <c r="R16" s="20">
        <v>0.92</v>
      </c>
      <c r="S16" s="20">
        <f t="shared" si="7"/>
        <v>8629017.25</v>
      </c>
      <c r="T16" s="20">
        <f t="shared" si="3"/>
        <v>7938695.8700000001</v>
      </c>
      <c r="U16" s="20">
        <v>3.1</v>
      </c>
      <c r="V16" s="20">
        <f t="shared" si="8"/>
        <v>986173.39999999979</v>
      </c>
      <c r="W16" s="20">
        <f t="shared" si="4"/>
        <v>907279.52799999982</v>
      </c>
      <c r="X16" s="23">
        <v>7938695.8700000001</v>
      </c>
      <c r="Y16" s="23">
        <v>567096597.14318192</v>
      </c>
      <c r="Z16" s="20">
        <f t="shared" si="1"/>
        <v>1465904787.9398179</v>
      </c>
      <c r="AA16" s="14" t="s">
        <v>116</v>
      </c>
      <c r="AB16" s="14" t="s">
        <v>117</v>
      </c>
      <c r="AC16" s="14" t="s">
        <v>103</v>
      </c>
      <c r="AD16" s="20" t="s">
        <v>103</v>
      </c>
      <c r="AE16" s="14" t="s">
        <v>173</v>
      </c>
      <c r="AF16" s="14" t="s">
        <v>174</v>
      </c>
      <c r="AG16" s="14" t="s">
        <v>175</v>
      </c>
      <c r="AT16" s="5"/>
    </row>
    <row r="17" spans="1:46">
      <c r="A17" s="18">
        <v>45503</v>
      </c>
      <c r="B17" s="14" t="s">
        <v>98</v>
      </c>
      <c r="C17" s="14" t="s">
        <v>99</v>
      </c>
      <c r="D17" s="14" t="s">
        <v>100</v>
      </c>
      <c r="E17" s="14" t="s">
        <v>176</v>
      </c>
      <c r="F17" s="14" t="s">
        <v>112</v>
      </c>
      <c r="G17" s="14" t="s">
        <v>103</v>
      </c>
      <c r="H17" s="14" t="s">
        <v>100</v>
      </c>
      <c r="I17" s="14" t="s">
        <v>103</v>
      </c>
      <c r="J17" s="14" t="s">
        <v>105</v>
      </c>
      <c r="K17" s="14" t="s">
        <v>33</v>
      </c>
      <c r="L17" s="14" t="s">
        <v>177</v>
      </c>
      <c r="M17" s="14" t="s">
        <v>178</v>
      </c>
      <c r="N17" s="14" t="s">
        <v>107</v>
      </c>
      <c r="O17" s="14" t="s">
        <v>143</v>
      </c>
      <c r="P17" s="20">
        <v>-27050</v>
      </c>
      <c r="Q17" s="20">
        <v>349.53</v>
      </c>
      <c r="R17" s="20">
        <v>1</v>
      </c>
      <c r="S17" s="20">
        <f t="shared" si="7"/>
        <v>-9454786.5</v>
      </c>
      <c r="T17" s="20">
        <f t="shared" si="3"/>
        <v>-9454786.5</v>
      </c>
      <c r="U17" s="20">
        <v>354.2</v>
      </c>
      <c r="V17" s="20">
        <f t="shared" si="8"/>
        <v>126323.50000000044</v>
      </c>
      <c r="W17" s="20">
        <f t="shared" si="4"/>
        <v>126323.50000000044</v>
      </c>
      <c r="X17" s="20">
        <v>-9454786.5</v>
      </c>
      <c r="Y17" s="20">
        <v>616409344.72084987</v>
      </c>
      <c r="Z17" s="20">
        <f t="shared" si="1"/>
        <v>1465904787.9398179</v>
      </c>
      <c r="AA17" s="14" t="s">
        <v>130</v>
      </c>
      <c r="AB17" s="14" t="s">
        <v>117</v>
      </c>
      <c r="AC17" s="14" t="s">
        <v>103</v>
      </c>
      <c r="AD17" s="20" t="s">
        <v>103</v>
      </c>
      <c r="AE17" s="14" t="s">
        <v>103</v>
      </c>
      <c r="AF17" s="14" t="s">
        <v>103</v>
      </c>
      <c r="AG17" s="14" t="s">
        <v>103</v>
      </c>
      <c r="AT17" s="5"/>
    </row>
    <row r="18" spans="1:46">
      <c r="A18" s="18">
        <v>45503</v>
      </c>
      <c r="B18" s="14" t="s">
        <v>98</v>
      </c>
      <c r="C18" s="14" t="s">
        <v>99</v>
      </c>
      <c r="D18" s="14" t="s">
        <v>100</v>
      </c>
      <c r="E18" s="14" t="s">
        <v>179</v>
      </c>
      <c r="F18" s="14" t="s">
        <v>102</v>
      </c>
      <c r="G18" s="14" t="s">
        <v>103</v>
      </c>
      <c r="H18" s="14" t="s">
        <v>113</v>
      </c>
      <c r="I18" s="14" t="s">
        <v>103</v>
      </c>
      <c r="J18" s="14" t="s">
        <v>105</v>
      </c>
      <c r="K18" s="14" t="s">
        <v>33</v>
      </c>
      <c r="L18" s="14" t="s">
        <v>180</v>
      </c>
      <c r="M18" s="14" t="s">
        <v>180</v>
      </c>
      <c r="N18" s="14" t="s">
        <v>107</v>
      </c>
      <c r="O18" s="14" t="s">
        <v>115</v>
      </c>
      <c r="P18" s="20">
        <v>22402</v>
      </c>
      <c r="Q18" s="20">
        <v>220.1</v>
      </c>
      <c r="R18" s="20">
        <v>0.92</v>
      </c>
      <c r="S18" s="20">
        <f t="shared" si="7"/>
        <v>4930680.2</v>
      </c>
      <c r="T18" s="20">
        <f t="shared" si="3"/>
        <v>4536225.784</v>
      </c>
      <c r="U18" s="20">
        <v>488.1</v>
      </c>
      <c r="V18" s="20">
        <f t="shared" si="8"/>
        <v>-6003736</v>
      </c>
      <c r="W18" s="20">
        <f t="shared" si="4"/>
        <v>-5523437.1200000001</v>
      </c>
      <c r="X18" s="23">
        <v>4536225.784</v>
      </c>
      <c r="Y18" s="23">
        <v>567096597.14318192</v>
      </c>
      <c r="Z18" s="20">
        <f t="shared" si="1"/>
        <v>1465904787.9398179</v>
      </c>
      <c r="AA18" s="14" t="s">
        <v>116</v>
      </c>
      <c r="AB18" s="14" t="s">
        <v>117</v>
      </c>
      <c r="AC18" s="14" t="s">
        <v>103</v>
      </c>
      <c r="AD18" s="20" t="s">
        <v>103</v>
      </c>
      <c r="AE18" s="14" t="s">
        <v>103</v>
      </c>
      <c r="AF18" s="14" t="s">
        <v>103</v>
      </c>
      <c r="AG18" s="14" t="s">
        <v>103</v>
      </c>
      <c r="AT18" s="5"/>
    </row>
    <row r="19" spans="1:46">
      <c r="A19" s="18">
        <v>45503</v>
      </c>
      <c r="B19" s="14" t="s">
        <v>98</v>
      </c>
      <c r="C19" s="14" t="s">
        <v>99</v>
      </c>
      <c r="D19" s="14" t="s">
        <v>100</v>
      </c>
      <c r="E19" s="14" t="s">
        <v>181</v>
      </c>
      <c r="F19" s="14" t="s">
        <v>102</v>
      </c>
      <c r="G19" s="14" t="s">
        <v>103</v>
      </c>
      <c r="H19" s="14" t="s">
        <v>169</v>
      </c>
      <c r="I19" s="14" t="s">
        <v>103</v>
      </c>
      <c r="J19" s="14" t="s">
        <v>105</v>
      </c>
      <c r="K19" s="14" t="s">
        <v>33</v>
      </c>
      <c r="L19" s="14" t="s">
        <v>182</v>
      </c>
      <c r="M19" s="14" t="s">
        <v>182</v>
      </c>
      <c r="N19" s="14" t="s">
        <v>107</v>
      </c>
      <c r="O19" s="14" t="s">
        <v>153</v>
      </c>
      <c r="P19" s="20">
        <v>24583.200000000001</v>
      </c>
      <c r="Q19" s="20">
        <v>234.04</v>
      </c>
      <c r="R19" s="20">
        <v>1.1499999999999999</v>
      </c>
      <c r="S19" s="20">
        <f t="shared" si="7"/>
        <v>5753452.1279999996</v>
      </c>
      <c r="T19" s="20">
        <f t="shared" si="3"/>
        <v>6616469.9471999994</v>
      </c>
      <c r="U19" s="20">
        <v>240.09</v>
      </c>
      <c r="V19" s="20">
        <f t="shared" si="8"/>
        <v>-148728.36000000028</v>
      </c>
      <c r="W19" s="20">
        <f t="shared" si="4"/>
        <v>-171037.61400000029</v>
      </c>
      <c r="X19" s="20">
        <v>6616469.9471999994</v>
      </c>
      <c r="Y19" s="20">
        <v>708870746.42897725</v>
      </c>
      <c r="Z19" s="20">
        <f t="shared" si="1"/>
        <v>1465904787.9398179</v>
      </c>
      <c r="AA19" s="14" t="s">
        <v>130</v>
      </c>
      <c r="AB19" s="14" t="s">
        <v>117</v>
      </c>
      <c r="AC19" s="14" t="s">
        <v>103</v>
      </c>
      <c r="AD19" s="20" t="s">
        <v>103</v>
      </c>
      <c r="AE19" s="14" t="s">
        <v>103</v>
      </c>
      <c r="AF19" s="14" t="s">
        <v>103</v>
      </c>
      <c r="AG19" s="14" t="s">
        <v>103</v>
      </c>
    </row>
    <row r="20" spans="1:46">
      <c r="A20" s="18">
        <v>45503</v>
      </c>
      <c r="B20" s="14" t="s">
        <v>98</v>
      </c>
      <c r="C20" s="14" t="s">
        <v>99</v>
      </c>
      <c r="D20" s="14" t="s">
        <v>100</v>
      </c>
      <c r="E20" s="14" t="s">
        <v>183</v>
      </c>
      <c r="F20" s="14" t="s">
        <v>102</v>
      </c>
      <c r="G20" s="14" t="s">
        <v>157</v>
      </c>
      <c r="H20" s="14" t="s">
        <v>113</v>
      </c>
      <c r="I20" s="13">
        <v>45565</v>
      </c>
      <c r="J20" s="14" t="s">
        <v>147</v>
      </c>
      <c r="K20" s="14" t="s">
        <v>41</v>
      </c>
      <c r="L20" s="14" t="s">
        <v>28</v>
      </c>
      <c r="M20" s="14" t="s">
        <v>28</v>
      </c>
      <c r="N20" s="14" t="s">
        <v>103</v>
      </c>
      <c r="O20" s="14" t="s">
        <v>115</v>
      </c>
      <c r="P20" s="20">
        <v>8000.75</v>
      </c>
      <c r="Q20" s="20">
        <v>59.23</v>
      </c>
      <c r="R20" s="20">
        <v>0.92</v>
      </c>
      <c r="S20" s="20">
        <f t="shared" si="7"/>
        <v>473884.42249999999</v>
      </c>
      <c r="T20" s="20">
        <f t="shared" si="3"/>
        <v>435973.66869999998</v>
      </c>
      <c r="U20" s="20">
        <v>55.23</v>
      </c>
      <c r="V20" s="20">
        <f t="shared" si="8"/>
        <v>32003</v>
      </c>
      <c r="W20" s="20">
        <f t="shared" si="4"/>
        <v>29442.760000000002</v>
      </c>
      <c r="X20" s="23">
        <v>435973.66869999998</v>
      </c>
      <c r="Y20" s="23">
        <v>567096597.14318192</v>
      </c>
      <c r="Z20" s="20">
        <f t="shared" si="1"/>
        <v>1465904787.9398179</v>
      </c>
      <c r="AA20" s="14" t="s">
        <v>130</v>
      </c>
      <c r="AB20" s="14" t="s">
        <v>117</v>
      </c>
      <c r="AC20" s="14"/>
      <c r="AD20" s="20" t="s">
        <v>103</v>
      </c>
      <c r="AE20" s="15" t="s">
        <v>184</v>
      </c>
      <c r="AF20" s="14" t="s">
        <v>174</v>
      </c>
      <c r="AG20" s="14" t="s">
        <v>175</v>
      </c>
    </row>
    <row r="21" spans="1:46">
      <c r="A21" s="18">
        <v>45503</v>
      </c>
      <c r="B21" s="14" t="s">
        <v>98</v>
      </c>
      <c r="C21" s="14" t="s">
        <v>99</v>
      </c>
      <c r="D21" s="14" t="s">
        <v>100</v>
      </c>
      <c r="E21" s="14" t="s">
        <v>185</v>
      </c>
      <c r="F21" s="14" t="s">
        <v>102</v>
      </c>
      <c r="G21" s="14" t="s">
        <v>157</v>
      </c>
      <c r="H21" s="14" t="s">
        <v>186</v>
      </c>
      <c r="I21" s="13">
        <v>45596</v>
      </c>
      <c r="J21" s="14" t="s">
        <v>164</v>
      </c>
      <c r="K21" s="14" t="s">
        <v>37</v>
      </c>
      <c r="L21" s="14" t="s">
        <v>187</v>
      </c>
      <c r="M21" s="14" t="s">
        <v>187</v>
      </c>
      <c r="N21" s="14" t="s">
        <v>103</v>
      </c>
      <c r="O21" s="14" t="s">
        <v>188</v>
      </c>
      <c r="P21" s="20">
        <v>2351023.4</v>
      </c>
      <c r="Q21" s="20">
        <v>4.2</v>
      </c>
      <c r="R21" s="20">
        <v>1.18</v>
      </c>
      <c r="S21" s="20">
        <f t="shared" si="7"/>
        <v>9874298.2799999993</v>
      </c>
      <c r="T21" s="20">
        <f t="shared" si="3"/>
        <v>11651671.970399998</v>
      </c>
      <c r="U21" s="20">
        <v>3.7</v>
      </c>
      <c r="V21" s="20">
        <f t="shared" si="8"/>
        <v>1175511.7</v>
      </c>
      <c r="W21" s="20">
        <f t="shared" si="4"/>
        <v>1387103.8059999999</v>
      </c>
      <c r="X21" s="20">
        <v>11651671.970399998</v>
      </c>
      <c r="Y21" s="20">
        <v>727363026.77060282</v>
      </c>
      <c r="Z21" s="20">
        <f t="shared" si="1"/>
        <v>1465904787.9398179</v>
      </c>
      <c r="AA21" s="14" t="s">
        <v>109</v>
      </c>
      <c r="AB21" s="14" t="s">
        <v>110</v>
      </c>
      <c r="AC21" s="14" t="s">
        <v>103</v>
      </c>
      <c r="AD21" s="20" t="s">
        <v>103</v>
      </c>
      <c r="AE21" s="14" t="s">
        <v>189</v>
      </c>
      <c r="AF21" s="14" t="s">
        <v>174</v>
      </c>
      <c r="AG21" s="14" t="s">
        <v>175</v>
      </c>
    </row>
    <row r="22" spans="1:46">
      <c r="A22" s="18">
        <v>45503</v>
      </c>
      <c r="B22" s="14" t="s">
        <v>98</v>
      </c>
      <c r="C22" s="14" t="s">
        <v>99</v>
      </c>
      <c r="D22" s="14" t="s">
        <v>100</v>
      </c>
      <c r="E22" s="14" t="s">
        <v>190</v>
      </c>
      <c r="F22" s="14" t="s">
        <v>102</v>
      </c>
      <c r="G22" s="14" t="s">
        <v>191</v>
      </c>
      <c r="H22" s="14" t="s">
        <v>100</v>
      </c>
      <c r="I22" s="13">
        <v>45596</v>
      </c>
      <c r="J22" s="14" t="s">
        <v>192</v>
      </c>
      <c r="K22" s="14" t="s">
        <v>193</v>
      </c>
      <c r="L22" s="14" t="s">
        <v>194</v>
      </c>
      <c r="M22" s="14" t="s">
        <v>194</v>
      </c>
      <c r="N22" s="14" t="s">
        <v>103</v>
      </c>
      <c r="O22" s="14" t="s">
        <v>153</v>
      </c>
      <c r="P22" s="20">
        <v>1000</v>
      </c>
      <c r="Q22" s="20">
        <v>78.900000000000006</v>
      </c>
      <c r="R22" s="20">
        <v>1</v>
      </c>
      <c r="S22" s="20">
        <f>V22</f>
        <v>-99.999999999994316</v>
      </c>
      <c r="T22" s="20">
        <f t="shared" si="3"/>
        <v>-99.999999999994316</v>
      </c>
      <c r="U22" s="20">
        <v>79</v>
      </c>
      <c r="V22" s="20">
        <f t="shared" si="8"/>
        <v>-99.999999999994316</v>
      </c>
      <c r="W22" s="20">
        <f t="shared" si="4"/>
        <v>-99.999999999994316</v>
      </c>
      <c r="X22" s="23">
        <v>78900</v>
      </c>
      <c r="Y22" s="23">
        <v>616409344.72084987</v>
      </c>
      <c r="Z22" s="20">
        <f t="shared" si="1"/>
        <v>1465904787.9398179</v>
      </c>
      <c r="AA22" s="14" t="s">
        <v>130</v>
      </c>
      <c r="AB22" s="14" t="s">
        <v>117</v>
      </c>
      <c r="AC22" s="14" t="s">
        <v>103</v>
      </c>
      <c r="AD22" s="20" t="s">
        <v>103</v>
      </c>
      <c r="AE22" s="14" t="s">
        <v>103</v>
      </c>
      <c r="AF22" s="14" t="s">
        <v>103</v>
      </c>
      <c r="AG22" s="14" t="s">
        <v>103</v>
      </c>
      <c r="AT22" s="5"/>
    </row>
    <row r="23" spans="1:46">
      <c r="A23" s="18">
        <v>45503</v>
      </c>
      <c r="B23" s="14" t="s">
        <v>98</v>
      </c>
      <c r="C23" s="14" t="s">
        <v>99</v>
      </c>
      <c r="D23" s="14" t="s">
        <v>100</v>
      </c>
      <c r="E23" s="14" t="s">
        <v>195</v>
      </c>
      <c r="F23" s="14" t="s">
        <v>102</v>
      </c>
      <c r="G23" s="14" t="s">
        <v>103</v>
      </c>
      <c r="H23" s="14" t="s">
        <v>100</v>
      </c>
      <c r="I23" s="14" t="s">
        <v>103</v>
      </c>
      <c r="J23" s="14" t="s">
        <v>105</v>
      </c>
      <c r="K23" s="14" t="s">
        <v>34</v>
      </c>
      <c r="L23" s="14" t="s">
        <v>196</v>
      </c>
      <c r="M23" s="14" t="s">
        <v>196</v>
      </c>
      <c r="N23" s="14" t="s">
        <v>107</v>
      </c>
      <c r="O23" s="14" t="s">
        <v>129</v>
      </c>
      <c r="P23" s="20">
        <v>248074.75</v>
      </c>
      <c r="Q23" s="20">
        <v>342.42</v>
      </c>
      <c r="R23" s="20">
        <v>1</v>
      </c>
      <c r="S23" s="20">
        <f t="shared" ref="S23:S29" si="9">P23*Q23</f>
        <v>84945755.895000011</v>
      </c>
      <c r="T23" s="20">
        <f t="shared" si="3"/>
        <v>84945755.895000011</v>
      </c>
      <c r="U23" s="20">
        <v>330.92</v>
      </c>
      <c r="V23" s="20">
        <f t="shared" si="8"/>
        <v>2852859.625</v>
      </c>
      <c r="W23" s="20">
        <f t="shared" si="4"/>
        <v>2852859.625</v>
      </c>
      <c r="X23" s="20">
        <v>84945755.895000011</v>
      </c>
      <c r="Y23" s="20">
        <v>616409344.72084987</v>
      </c>
      <c r="Z23" s="20">
        <f t="shared" si="1"/>
        <v>1465904787.9398179</v>
      </c>
      <c r="AA23" s="14" t="s">
        <v>130</v>
      </c>
      <c r="AB23" s="14" t="s">
        <v>117</v>
      </c>
      <c r="AC23" s="14" t="s">
        <v>103</v>
      </c>
      <c r="AD23" s="20" t="s">
        <v>103</v>
      </c>
      <c r="AE23" s="14" t="s">
        <v>197</v>
      </c>
      <c r="AF23" s="14" t="s">
        <v>105</v>
      </c>
      <c r="AG23" s="14" t="s">
        <v>33</v>
      </c>
      <c r="AT23" s="5"/>
    </row>
    <row r="24" spans="1:46">
      <c r="A24" s="18">
        <v>45503</v>
      </c>
      <c r="B24" s="14" t="s">
        <v>98</v>
      </c>
      <c r="C24" s="14" t="s">
        <v>99</v>
      </c>
      <c r="D24" s="14" t="s">
        <v>100</v>
      </c>
      <c r="E24" s="14" t="s">
        <v>198</v>
      </c>
      <c r="F24" s="14" t="s">
        <v>102</v>
      </c>
      <c r="G24" s="14" t="s">
        <v>103</v>
      </c>
      <c r="H24" s="14" t="s">
        <v>169</v>
      </c>
      <c r="I24" s="14" t="s">
        <v>103</v>
      </c>
      <c r="J24" s="14" t="s">
        <v>105</v>
      </c>
      <c r="K24" s="14" t="s">
        <v>34</v>
      </c>
      <c r="L24" s="14" t="s">
        <v>199</v>
      </c>
      <c r="M24" s="14" t="s">
        <v>199</v>
      </c>
      <c r="N24" s="14" t="s">
        <v>107</v>
      </c>
      <c r="O24" s="14" t="s">
        <v>153</v>
      </c>
      <c r="P24" s="20">
        <v>327052.25</v>
      </c>
      <c r="Q24" s="20">
        <v>285.26</v>
      </c>
      <c r="R24" s="20">
        <v>1.1499999999999999</v>
      </c>
      <c r="S24" s="20">
        <f t="shared" si="9"/>
        <v>93294924.834999993</v>
      </c>
      <c r="T24" s="20">
        <f t="shared" si="3"/>
        <v>107289163.56024998</v>
      </c>
      <c r="U24" s="20">
        <v>279.98</v>
      </c>
      <c r="V24" s="20">
        <f t="shared" si="8"/>
        <v>1726835.879999991</v>
      </c>
      <c r="W24" s="20">
        <f t="shared" si="4"/>
        <v>1985861.2619999896</v>
      </c>
      <c r="X24" s="23">
        <v>107289163.56025</v>
      </c>
      <c r="Y24" s="23">
        <v>708870746.42897725</v>
      </c>
      <c r="Z24" s="20">
        <f t="shared" si="1"/>
        <v>1465904787.9398179</v>
      </c>
      <c r="AA24" s="14" t="s">
        <v>130</v>
      </c>
      <c r="AB24" s="14" t="s">
        <v>117</v>
      </c>
      <c r="AC24" s="14" t="s">
        <v>103</v>
      </c>
      <c r="AD24" s="20" t="s">
        <v>103</v>
      </c>
      <c r="AE24" s="14" t="s">
        <v>200</v>
      </c>
      <c r="AF24" s="14" t="s">
        <v>105</v>
      </c>
      <c r="AG24" s="14" t="s">
        <v>33</v>
      </c>
    </row>
    <row r="25" spans="1:46">
      <c r="A25" s="18">
        <v>45503</v>
      </c>
      <c r="B25" s="14" t="s">
        <v>98</v>
      </c>
      <c r="C25" s="14" t="s">
        <v>99</v>
      </c>
      <c r="D25" s="14" t="s">
        <v>100</v>
      </c>
      <c r="E25" s="14" t="s">
        <v>201</v>
      </c>
      <c r="F25" s="14" t="s">
        <v>102</v>
      </c>
      <c r="G25" s="14" t="s">
        <v>202</v>
      </c>
      <c r="H25" s="14" t="s">
        <v>203</v>
      </c>
      <c r="I25" s="13">
        <v>45596</v>
      </c>
      <c r="J25" s="14" t="s">
        <v>147</v>
      </c>
      <c r="K25" s="14" t="s">
        <v>37</v>
      </c>
      <c r="L25" s="14" t="s">
        <v>28</v>
      </c>
      <c r="M25" s="14" t="s">
        <v>28</v>
      </c>
      <c r="N25" s="14" t="s">
        <v>103</v>
      </c>
      <c r="O25" s="14" t="s">
        <v>204</v>
      </c>
      <c r="P25" s="20">
        <v>302790.25</v>
      </c>
      <c r="Q25" s="20">
        <v>0.99</v>
      </c>
      <c r="R25" s="20">
        <v>0.13</v>
      </c>
      <c r="S25" s="20">
        <f t="shared" si="9"/>
        <v>299762.34749999997</v>
      </c>
      <c r="T25" s="20">
        <f t="shared" si="3"/>
        <v>38969.105174999997</v>
      </c>
      <c r="U25" s="20">
        <v>1.04</v>
      </c>
      <c r="V25" s="20">
        <f t="shared" si="8"/>
        <v>-15139.512500000013</v>
      </c>
      <c r="W25" s="20">
        <f t="shared" si="4"/>
        <v>-1968.1366250000019</v>
      </c>
      <c r="X25" s="20">
        <v>38969.105175000004</v>
      </c>
      <c r="Y25" s="20">
        <v>80133214.813710481</v>
      </c>
      <c r="Z25" s="20">
        <f t="shared" si="1"/>
        <v>1465904787.9398179</v>
      </c>
      <c r="AA25" s="14" t="s">
        <v>109</v>
      </c>
      <c r="AB25" s="14" t="s">
        <v>110</v>
      </c>
      <c r="AC25" s="14" t="s">
        <v>103</v>
      </c>
      <c r="AD25" s="20" t="s">
        <v>103</v>
      </c>
      <c r="AE25" s="14" t="s">
        <v>205</v>
      </c>
      <c r="AF25" s="14" t="s">
        <v>105</v>
      </c>
      <c r="AG25" s="14" t="s">
        <v>33</v>
      </c>
    </row>
    <row r="26" spans="1:46">
      <c r="A26" s="18">
        <v>45503</v>
      </c>
      <c r="B26" s="14" t="s">
        <v>98</v>
      </c>
      <c r="C26" s="14" t="s">
        <v>99</v>
      </c>
      <c r="D26" s="14" t="s">
        <v>100</v>
      </c>
      <c r="E26" s="14" t="s">
        <v>206</v>
      </c>
      <c r="F26" s="14" t="s">
        <v>102</v>
      </c>
      <c r="G26" s="14" t="s">
        <v>103</v>
      </c>
      <c r="H26" s="14" t="s">
        <v>113</v>
      </c>
      <c r="I26" s="13">
        <v>52748</v>
      </c>
      <c r="J26" s="14" t="s">
        <v>125</v>
      </c>
      <c r="K26" s="14" t="s">
        <v>132</v>
      </c>
      <c r="L26" s="14" t="s">
        <v>133</v>
      </c>
      <c r="M26" s="14" t="s">
        <v>134</v>
      </c>
      <c r="N26" s="14" t="s">
        <v>135</v>
      </c>
      <c r="O26" s="14" t="s">
        <v>115</v>
      </c>
      <c r="P26" s="20">
        <v>211078</v>
      </c>
      <c r="Q26" s="20">
        <v>97.88</v>
      </c>
      <c r="R26" s="20">
        <v>0.92</v>
      </c>
      <c r="S26" s="20">
        <f t="shared" si="9"/>
        <v>20660314.640000001</v>
      </c>
      <c r="T26" s="20">
        <f t="shared" si="3"/>
        <v>19007489.468800001</v>
      </c>
      <c r="U26" s="20">
        <v>199.87</v>
      </c>
      <c r="V26" s="20">
        <f t="shared" si="8"/>
        <v>-21527845.220000003</v>
      </c>
      <c r="W26" s="20">
        <f t="shared" si="4"/>
        <v>-19805617.602400005</v>
      </c>
      <c r="X26" s="23">
        <v>19007489.468800001</v>
      </c>
      <c r="Y26" s="23">
        <v>567096597.14318192</v>
      </c>
      <c r="Z26" s="20">
        <f t="shared" si="1"/>
        <v>1465904787.9398179</v>
      </c>
      <c r="AA26" s="14" t="s">
        <v>116</v>
      </c>
      <c r="AB26" s="14" t="s">
        <v>117</v>
      </c>
      <c r="AC26" s="16">
        <v>4.3999999999999997E-2</v>
      </c>
      <c r="AD26" s="20">
        <f>AD13*0.8</f>
        <v>6830400</v>
      </c>
      <c r="AE26" s="14" t="s">
        <v>103</v>
      </c>
      <c r="AF26" s="14" t="s">
        <v>103</v>
      </c>
      <c r="AG26" s="14" t="s">
        <v>103</v>
      </c>
      <c r="AT26" s="5"/>
    </row>
    <row r="27" spans="1:46">
      <c r="A27" s="18">
        <v>45503</v>
      </c>
      <c r="B27" s="14" t="s">
        <v>98</v>
      </c>
      <c r="C27" s="14" t="s">
        <v>99</v>
      </c>
      <c r="D27" s="14" t="s">
        <v>100</v>
      </c>
      <c r="E27" s="14" t="s">
        <v>207</v>
      </c>
      <c r="F27" s="14" t="s">
        <v>102</v>
      </c>
      <c r="G27" s="14" t="s">
        <v>103</v>
      </c>
      <c r="H27" s="14" t="s">
        <v>100</v>
      </c>
      <c r="I27" s="13">
        <v>45831</v>
      </c>
      <c r="J27" s="14" t="s">
        <v>105</v>
      </c>
      <c r="K27" s="14" t="s">
        <v>35</v>
      </c>
      <c r="L27" s="14" t="s">
        <v>208</v>
      </c>
      <c r="M27" s="14" t="s">
        <v>209</v>
      </c>
      <c r="N27" s="14" t="s">
        <v>107</v>
      </c>
      <c r="O27" s="14" t="s">
        <v>210</v>
      </c>
      <c r="P27" s="20">
        <v>31762298.5</v>
      </c>
      <c r="Q27" s="20">
        <v>5.6000000000000001E-2</v>
      </c>
      <c r="R27" s="20">
        <v>1</v>
      </c>
      <c r="S27" s="20">
        <f t="shared" si="9"/>
        <v>1778688.716</v>
      </c>
      <c r="T27" s="20">
        <f t="shared" si="3"/>
        <v>1778688.716</v>
      </c>
      <c r="U27" s="20">
        <v>5.1999999999999998E-2</v>
      </c>
      <c r="V27" s="20">
        <f t="shared" si="8"/>
        <v>127049.19400000012</v>
      </c>
      <c r="W27" s="20">
        <f t="shared" si="4"/>
        <v>127049.19400000012</v>
      </c>
      <c r="X27" s="20">
        <v>1778688.716</v>
      </c>
      <c r="Y27" s="20">
        <v>616409344.72084987</v>
      </c>
      <c r="Z27" s="20">
        <f t="shared" si="1"/>
        <v>1465904787.9398179</v>
      </c>
      <c r="AA27" s="14" t="s">
        <v>130</v>
      </c>
      <c r="AB27" s="14" t="s">
        <v>117</v>
      </c>
      <c r="AC27" s="14" t="s">
        <v>103</v>
      </c>
      <c r="AD27" s="20" t="s">
        <v>103</v>
      </c>
      <c r="AE27" s="14" t="s">
        <v>211</v>
      </c>
      <c r="AF27" s="14" t="s">
        <v>105</v>
      </c>
      <c r="AG27" s="14" t="s">
        <v>33</v>
      </c>
      <c r="AT27" s="5"/>
    </row>
    <row r="28" spans="1:46">
      <c r="A28" s="18">
        <v>45503</v>
      </c>
      <c r="B28" s="14" t="s">
        <v>98</v>
      </c>
      <c r="C28" s="14" t="s">
        <v>99</v>
      </c>
      <c r="D28" s="14" t="s">
        <v>100</v>
      </c>
      <c r="E28" s="14" t="s">
        <v>212</v>
      </c>
      <c r="F28" s="14" t="s">
        <v>102</v>
      </c>
      <c r="G28" s="14" t="s">
        <v>103</v>
      </c>
      <c r="H28" s="14" t="s">
        <v>100</v>
      </c>
      <c r="I28" s="13">
        <v>46105</v>
      </c>
      <c r="J28" s="14" t="s">
        <v>105</v>
      </c>
      <c r="K28" s="14" t="s">
        <v>35</v>
      </c>
      <c r="L28" s="14" t="s">
        <v>213</v>
      </c>
      <c r="M28" s="14" t="s">
        <v>214</v>
      </c>
      <c r="N28" s="14" t="s">
        <v>107</v>
      </c>
      <c r="O28" s="14" t="s">
        <v>210</v>
      </c>
      <c r="P28" s="20">
        <v>13236155.5</v>
      </c>
      <c r="Q28" s="20">
        <v>0.06</v>
      </c>
      <c r="R28" s="20">
        <v>1</v>
      </c>
      <c r="S28" s="20">
        <f t="shared" si="9"/>
        <v>794169.33</v>
      </c>
      <c r="T28" s="20">
        <f t="shared" si="3"/>
        <v>794169.33</v>
      </c>
      <c r="U28" s="20">
        <v>5.5E-2</v>
      </c>
      <c r="V28" s="20">
        <f t="shared" si="8"/>
        <v>66180.777499999967</v>
      </c>
      <c r="W28" s="20">
        <f t="shared" si="4"/>
        <v>66180.777499999967</v>
      </c>
      <c r="X28" s="23">
        <v>794169.33</v>
      </c>
      <c r="Y28" s="23">
        <v>616409344.72084987</v>
      </c>
      <c r="Z28" s="20">
        <f t="shared" si="1"/>
        <v>1465904787.9398179</v>
      </c>
      <c r="AA28" s="14" t="s">
        <v>130</v>
      </c>
      <c r="AB28" s="14" t="s">
        <v>117</v>
      </c>
      <c r="AC28" s="14" t="s">
        <v>103</v>
      </c>
      <c r="AD28" s="20" t="s">
        <v>103</v>
      </c>
      <c r="AE28" s="14" t="s">
        <v>215</v>
      </c>
      <c r="AF28" s="14" t="s">
        <v>105</v>
      </c>
      <c r="AG28" s="14" t="s">
        <v>33</v>
      </c>
      <c r="AT28" s="5"/>
    </row>
    <row r="29" spans="1:46">
      <c r="A29" s="18">
        <v>45503</v>
      </c>
      <c r="B29" s="14" t="s">
        <v>98</v>
      </c>
      <c r="C29" s="14" t="s">
        <v>99</v>
      </c>
      <c r="D29" s="14" t="s">
        <v>100</v>
      </c>
      <c r="E29" s="14" t="str">
        <f ca="1">LEFT(L29, FIND(" ",L29))&amp;" "&amp;CHOOSE(RANDBETWEEN(1,3),"Class A","Class B","Class C")</f>
        <v>OmniPulse  Class C</v>
      </c>
      <c r="F29" s="14" t="s">
        <v>102</v>
      </c>
      <c r="G29" s="14" t="s">
        <v>103</v>
      </c>
      <c r="H29" s="14" t="s">
        <v>113</v>
      </c>
      <c r="I29" s="14" t="s">
        <v>103</v>
      </c>
      <c r="J29" s="14" t="s">
        <v>105</v>
      </c>
      <c r="K29" s="14" t="s">
        <v>33</v>
      </c>
      <c r="L29" s="14" t="s">
        <v>216</v>
      </c>
      <c r="M29" s="14" t="s">
        <v>216</v>
      </c>
      <c r="N29" s="14" t="s">
        <v>107</v>
      </c>
      <c r="O29" s="14" t="s">
        <v>115</v>
      </c>
      <c r="P29" s="20">
        <v>17012</v>
      </c>
      <c r="Q29" s="20">
        <v>123.3</v>
      </c>
      <c r="R29" s="20">
        <v>0.92</v>
      </c>
      <c r="S29" s="20">
        <f t="shared" si="9"/>
        <v>2097579.6</v>
      </c>
      <c r="T29" s="20">
        <f t="shared" si="3"/>
        <v>1929773.2320000001</v>
      </c>
      <c r="U29" s="20">
        <v>589.02</v>
      </c>
      <c r="V29" s="20">
        <f t="shared" si="8"/>
        <v>-7922828.6399999997</v>
      </c>
      <c r="W29" s="20">
        <f t="shared" si="4"/>
        <v>-7289002.3487999998</v>
      </c>
      <c r="X29" s="20">
        <v>1929773.2320000001</v>
      </c>
      <c r="Y29" s="20">
        <v>567096597.14318192</v>
      </c>
      <c r="Z29" s="20">
        <f t="shared" si="1"/>
        <v>1465904787.9398179</v>
      </c>
      <c r="AA29" s="14" t="s">
        <v>116</v>
      </c>
      <c r="AB29" s="14" t="s">
        <v>117</v>
      </c>
      <c r="AC29" s="14" t="s">
        <v>103</v>
      </c>
      <c r="AD29" s="20" t="s">
        <v>103</v>
      </c>
      <c r="AE29" s="14" t="s">
        <v>103</v>
      </c>
      <c r="AF29" s="14" t="s">
        <v>103</v>
      </c>
      <c r="AG29" s="14" t="s">
        <v>103</v>
      </c>
    </row>
    <row r="30" spans="1:46">
      <c r="A30" s="18">
        <v>45503</v>
      </c>
      <c r="B30" s="14" t="s">
        <v>98</v>
      </c>
      <c r="C30" s="14" t="s">
        <v>99</v>
      </c>
      <c r="D30" s="14" t="s">
        <v>100</v>
      </c>
      <c r="E30" s="14" t="s">
        <v>217</v>
      </c>
      <c r="F30" s="14" t="s">
        <v>102</v>
      </c>
      <c r="G30" s="14" t="s">
        <v>163</v>
      </c>
      <c r="H30" s="14" t="s">
        <v>100</v>
      </c>
      <c r="I30" s="13">
        <v>50678</v>
      </c>
      <c r="J30" s="14" t="s">
        <v>125</v>
      </c>
      <c r="K30" s="14" t="s">
        <v>218</v>
      </c>
      <c r="L30" s="14" t="s">
        <v>219</v>
      </c>
      <c r="M30" s="14" t="s">
        <v>220</v>
      </c>
      <c r="N30" s="14" t="s">
        <v>107</v>
      </c>
      <c r="O30" s="14" t="s">
        <v>210</v>
      </c>
      <c r="P30" s="20">
        <v>1796136.5</v>
      </c>
      <c r="Q30" s="20">
        <v>100.4</v>
      </c>
      <c r="R30" s="20">
        <v>1</v>
      </c>
      <c r="S30" s="20">
        <f t="shared" ref="S30:S31" si="10">IF(K30="Equity",P30*Q30,P30*Q30/100)</f>
        <v>1803321.0460000003</v>
      </c>
      <c r="T30" s="20">
        <f t="shared" si="3"/>
        <v>1803321.0460000003</v>
      </c>
      <c r="U30" s="20">
        <v>100</v>
      </c>
      <c r="V30" s="20">
        <f t="shared" si="8"/>
        <v>718454.60000001022</v>
      </c>
      <c r="W30" s="20">
        <f t="shared" si="4"/>
        <v>718454.60000001022</v>
      </c>
      <c r="X30" s="23">
        <v>180332104.60000002</v>
      </c>
      <c r="Y30" s="23">
        <v>616409344.72084987</v>
      </c>
      <c r="Z30" s="20">
        <f t="shared" si="1"/>
        <v>1465904787.9398179</v>
      </c>
      <c r="AA30" s="14" t="s">
        <v>116</v>
      </c>
      <c r="AB30" s="14" t="s">
        <v>110</v>
      </c>
      <c r="AC30" s="16">
        <v>5.2999999999999999E-2</v>
      </c>
      <c r="AD30" s="20" t="s">
        <v>103</v>
      </c>
      <c r="AE30" s="14" t="s">
        <v>103</v>
      </c>
      <c r="AF30" s="14" t="s">
        <v>103</v>
      </c>
      <c r="AG30" s="14" t="s">
        <v>103</v>
      </c>
    </row>
    <row r="31" spans="1:46">
      <c r="A31" s="18">
        <v>45503</v>
      </c>
      <c r="B31" s="14" t="s">
        <v>98</v>
      </c>
      <c r="C31" s="14" t="s">
        <v>99</v>
      </c>
      <c r="D31" s="14" t="s">
        <v>100</v>
      </c>
      <c r="E31" s="14" t="s">
        <v>221</v>
      </c>
      <c r="F31" s="14" t="s">
        <v>102</v>
      </c>
      <c r="G31" s="14" t="s">
        <v>191</v>
      </c>
      <c r="H31" s="14" t="s">
        <v>100</v>
      </c>
      <c r="I31" s="13">
        <v>46721</v>
      </c>
      <c r="J31" s="14" t="s">
        <v>125</v>
      </c>
      <c r="K31" s="14" t="s">
        <v>218</v>
      </c>
      <c r="L31" s="14" t="s">
        <v>222</v>
      </c>
      <c r="M31" s="14" t="s">
        <v>223</v>
      </c>
      <c r="N31" s="14" t="s">
        <v>107</v>
      </c>
      <c r="O31" s="14" t="s">
        <v>224</v>
      </c>
      <c r="P31" s="20">
        <v>1595523.75</v>
      </c>
      <c r="Q31" s="20">
        <v>99.3</v>
      </c>
      <c r="R31" s="20">
        <v>1</v>
      </c>
      <c r="S31" s="20">
        <f t="shared" si="10"/>
        <v>1584355.08375</v>
      </c>
      <c r="T31" s="20">
        <f t="shared" si="3"/>
        <v>1584355.08375</v>
      </c>
      <c r="U31" s="20">
        <v>100</v>
      </c>
      <c r="V31" s="20">
        <f t="shared" si="8"/>
        <v>-1116866.6250000044</v>
      </c>
      <c r="W31" s="20">
        <f t="shared" si="4"/>
        <v>-1116866.6250000044</v>
      </c>
      <c r="X31" s="20">
        <v>158435508.375</v>
      </c>
      <c r="Y31" s="20">
        <v>616409344.72084987</v>
      </c>
      <c r="Z31" s="20">
        <f t="shared" si="1"/>
        <v>1465904787.9398179</v>
      </c>
      <c r="AA31" s="22" t="s">
        <v>109</v>
      </c>
      <c r="AB31" s="22" t="s">
        <v>117</v>
      </c>
      <c r="AC31" s="16">
        <v>4.5999999999999999E-2</v>
      </c>
      <c r="AD31" s="20" t="s">
        <v>103</v>
      </c>
      <c r="AE31" s="14" t="s">
        <v>103</v>
      </c>
      <c r="AF31" s="14" t="s">
        <v>103</v>
      </c>
      <c r="AG31" s="14" t="s">
        <v>103</v>
      </c>
    </row>
    <row r="32" spans="1:46">
      <c r="A32" s="18">
        <v>45503</v>
      </c>
      <c r="B32" s="14" t="s">
        <v>98</v>
      </c>
      <c r="C32" s="14" t="s">
        <v>99</v>
      </c>
      <c r="D32" s="14" t="s">
        <v>100</v>
      </c>
      <c r="E32" s="14" t="s">
        <v>225</v>
      </c>
      <c r="F32" s="14" t="s">
        <v>102</v>
      </c>
      <c r="G32" s="14" t="s">
        <v>103</v>
      </c>
      <c r="H32" s="14" t="s">
        <v>186</v>
      </c>
      <c r="I32" s="13">
        <v>49125</v>
      </c>
      <c r="J32" s="14" t="s">
        <v>125</v>
      </c>
      <c r="K32" s="14" t="s">
        <v>126</v>
      </c>
      <c r="L32" s="14" t="s">
        <v>226</v>
      </c>
      <c r="M32" s="14" t="s">
        <v>128</v>
      </c>
      <c r="N32" s="14" t="s">
        <v>107</v>
      </c>
      <c r="O32" s="14" t="s">
        <v>188</v>
      </c>
      <c r="P32" s="20">
        <v>309561</v>
      </c>
      <c r="Q32" s="20">
        <v>103.5</v>
      </c>
      <c r="R32" s="20">
        <v>1.18</v>
      </c>
      <c r="S32" s="20">
        <f t="shared" ref="S32:S36" si="11">P32*Q32</f>
        <v>32039563.5</v>
      </c>
      <c r="T32" s="20">
        <f t="shared" si="3"/>
        <v>37806684.93</v>
      </c>
      <c r="U32" s="20">
        <v>102.8</v>
      </c>
      <c r="V32" s="20">
        <f t="shared" si="8"/>
        <v>216692.70000000088</v>
      </c>
      <c r="W32" s="20">
        <f t="shared" si="4"/>
        <v>255697.38600000102</v>
      </c>
      <c r="X32" s="23">
        <v>37806684.93</v>
      </c>
      <c r="Y32" s="23">
        <v>727363026.77060282</v>
      </c>
      <c r="Z32" s="20">
        <f t="shared" si="1"/>
        <v>1465904787.9398179</v>
      </c>
      <c r="AA32" s="14" t="s">
        <v>130</v>
      </c>
      <c r="AB32" s="14" t="s">
        <v>117</v>
      </c>
      <c r="AC32" s="16">
        <v>4.3999999999999997E-2</v>
      </c>
      <c r="AD32" s="20">
        <v>54195500</v>
      </c>
      <c r="AE32" s="14" t="s">
        <v>103</v>
      </c>
      <c r="AF32" s="14" t="s">
        <v>103</v>
      </c>
      <c r="AG32" s="14" t="s">
        <v>103</v>
      </c>
    </row>
    <row r="33" spans="1:46">
      <c r="A33" s="18">
        <v>45503</v>
      </c>
      <c r="B33" s="14" t="s">
        <v>98</v>
      </c>
      <c r="C33" s="14" t="s">
        <v>99</v>
      </c>
      <c r="D33" s="14" t="s">
        <v>100</v>
      </c>
      <c r="E33" s="14" t="s">
        <v>227</v>
      </c>
      <c r="F33" s="14" t="s">
        <v>112</v>
      </c>
      <c r="G33" s="14" t="s">
        <v>103</v>
      </c>
      <c r="H33" s="14" t="s">
        <v>100</v>
      </c>
      <c r="I33" s="13">
        <v>47938</v>
      </c>
      <c r="J33" s="14" t="s">
        <v>125</v>
      </c>
      <c r="K33" s="14" t="s">
        <v>126</v>
      </c>
      <c r="L33" s="14" t="s">
        <v>228</v>
      </c>
      <c r="M33" s="14" t="s">
        <v>229</v>
      </c>
      <c r="N33" s="14" t="s">
        <v>107</v>
      </c>
      <c r="O33" s="14" t="s">
        <v>224</v>
      </c>
      <c r="P33" s="20">
        <v>-172303.25</v>
      </c>
      <c r="Q33" s="20">
        <v>98.01</v>
      </c>
      <c r="R33" s="20">
        <v>1</v>
      </c>
      <c r="S33" s="20">
        <f t="shared" si="11"/>
        <v>-16887441.532500003</v>
      </c>
      <c r="T33" s="20">
        <f t="shared" si="3"/>
        <v>-16887441.532500003</v>
      </c>
      <c r="U33" s="20">
        <v>99.6</v>
      </c>
      <c r="V33" s="20">
        <f t="shared" si="8"/>
        <v>273962.16749999812</v>
      </c>
      <c r="W33" s="20">
        <f t="shared" si="4"/>
        <v>273962.16749999812</v>
      </c>
      <c r="X33" s="20">
        <v>-16887441.532500003</v>
      </c>
      <c r="Y33" s="20">
        <v>616409344.72084987</v>
      </c>
      <c r="Z33" s="20">
        <f t="shared" si="1"/>
        <v>1465904787.9398179</v>
      </c>
      <c r="AA33" s="14" t="s">
        <v>130</v>
      </c>
      <c r="AB33" s="14" t="s">
        <v>117</v>
      </c>
      <c r="AC33" s="16">
        <v>4.5999999999999999E-2</v>
      </c>
      <c r="AD33" s="20">
        <v>2777830</v>
      </c>
      <c r="AE33" s="14" t="s">
        <v>103</v>
      </c>
      <c r="AF33" s="14" t="s">
        <v>103</v>
      </c>
      <c r="AG33" s="14" t="s">
        <v>103</v>
      </c>
    </row>
    <row r="34" spans="1:46">
      <c r="A34" s="18">
        <v>45503</v>
      </c>
      <c r="B34" s="14" t="s">
        <v>98</v>
      </c>
      <c r="C34" s="14" t="s">
        <v>99</v>
      </c>
      <c r="D34" s="14" t="s">
        <v>100</v>
      </c>
      <c r="E34" s="14" t="s">
        <v>230</v>
      </c>
      <c r="F34" s="14" t="s">
        <v>102</v>
      </c>
      <c r="G34" s="14" t="s">
        <v>103</v>
      </c>
      <c r="H34" s="14" t="s">
        <v>113</v>
      </c>
      <c r="I34" s="13">
        <v>48730</v>
      </c>
      <c r="J34" s="14" t="s">
        <v>125</v>
      </c>
      <c r="K34" s="14" t="s">
        <v>126</v>
      </c>
      <c r="L34" s="14" t="s">
        <v>231</v>
      </c>
      <c r="M34" s="14" t="s">
        <v>232</v>
      </c>
      <c r="N34" s="14" t="s">
        <v>107</v>
      </c>
      <c r="O34" s="14" t="s">
        <v>115</v>
      </c>
      <c r="P34" s="20">
        <v>272634.25</v>
      </c>
      <c r="Q34" s="20">
        <v>105.06</v>
      </c>
      <c r="R34" s="20">
        <v>0.92</v>
      </c>
      <c r="S34" s="20">
        <f t="shared" si="11"/>
        <v>28642954.305</v>
      </c>
      <c r="T34" s="20">
        <f t="shared" si="3"/>
        <v>26351517.9606</v>
      </c>
      <c r="U34" s="20">
        <v>104.9</v>
      </c>
      <c r="V34" s="20">
        <f t="shared" si="8"/>
        <v>43621.479999999072</v>
      </c>
      <c r="W34" s="20">
        <f t="shared" si="4"/>
        <v>40131.761599999147</v>
      </c>
      <c r="X34" s="23">
        <v>26351517.960600004</v>
      </c>
      <c r="Y34" s="23">
        <v>567096597.14318192</v>
      </c>
      <c r="Z34" s="20">
        <f t="shared" si="1"/>
        <v>1465904787.9398179</v>
      </c>
      <c r="AA34" s="14" t="s">
        <v>116</v>
      </c>
      <c r="AB34" s="14" t="s">
        <v>117</v>
      </c>
      <c r="AC34" s="16">
        <v>4.3999999999999997E-2</v>
      </c>
      <c r="AD34" s="20">
        <v>9534500</v>
      </c>
      <c r="AE34" s="14" t="s">
        <v>103</v>
      </c>
      <c r="AF34" s="14" t="s">
        <v>103</v>
      </c>
      <c r="AG34" s="14" t="s">
        <v>103</v>
      </c>
    </row>
    <row r="35" spans="1:46">
      <c r="A35" s="18">
        <v>45503</v>
      </c>
      <c r="B35" s="14" t="s">
        <v>98</v>
      </c>
      <c r="C35" s="14" t="s">
        <v>99</v>
      </c>
      <c r="D35" s="14" t="s">
        <v>100</v>
      </c>
      <c r="E35" s="14" t="s">
        <v>233</v>
      </c>
      <c r="F35" s="14" t="s">
        <v>102</v>
      </c>
      <c r="G35" s="14" t="s">
        <v>157</v>
      </c>
      <c r="H35" s="14" t="s">
        <v>100</v>
      </c>
      <c r="I35" s="13">
        <v>45621</v>
      </c>
      <c r="J35" s="14" t="s">
        <v>147</v>
      </c>
      <c r="K35" s="14" t="s">
        <v>234</v>
      </c>
      <c r="L35" s="14" t="s">
        <v>235</v>
      </c>
      <c r="M35" s="14" t="s">
        <v>236</v>
      </c>
      <c r="N35" s="14" t="s">
        <v>103</v>
      </c>
      <c r="O35" s="14" t="s">
        <v>224</v>
      </c>
      <c r="P35" s="20">
        <v>24469</v>
      </c>
      <c r="Q35" s="20">
        <v>1.24</v>
      </c>
      <c r="R35" s="20">
        <v>1</v>
      </c>
      <c r="S35" s="20">
        <f t="shared" si="11"/>
        <v>30341.56</v>
      </c>
      <c r="T35" s="20">
        <f t="shared" si="3"/>
        <v>30341.56</v>
      </c>
      <c r="U35" s="20">
        <v>1.26</v>
      </c>
      <c r="V35" s="20">
        <f t="shared" si="8"/>
        <v>-489.38000000000045</v>
      </c>
      <c r="W35" s="20">
        <f t="shared" si="4"/>
        <v>-489.38000000000045</v>
      </c>
      <c r="X35" s="20">
        <v>30341.56</v>
      </c>
      <c r="Y35" s="20">
        <v>616409344.72084987</v>
      </c>
      <c r="Z35" s="20">
        <f t="shared" si="1"/>
        <v>1465904787.9398179</v>
      </c>
      <c r="AA35" s="14" t="s">
        <v>116</v>
      </c>
      <c r="AB35" s="14" t="s">
        <v>117</v>
      </c>
      <c r="AC35" s="14" t="s">
        <v>103</v>
      </c>
      <c r="AD35" s="20" t="s">
        <v>103</v>
      </c>
      <c r="AE35" s="14" t="s">
        <v>237</v>
      </c>
      <c r="AF35" s="14" t="s">
        <v>105</v>
      </c>
      <c r="AG35" s="14" t="s">
        <v>33</v>
      </c>
    </row>
    <row r="36" spans="1:46">
      <c r="A36" s="18">
        <v>45503</v>
      </c>
      <c r="B36" s="14" t="s">
        <v>98</v>
      </c>
      <c r="C36" s="14" t="s">
        <v>99</v>
      </c>
      <c r="D36" s="14" t="s">
        <v>100</v>
      </c>
      <c r="E36" s="14" t="s">
        <v>238</v>
      </c>
      <c r="F36" s="14" t="s">
        <v>102</v>
      </c>
      <c r="G36" s="14" t="s">
        <v>239</v>
      </c>
      <c r="H36" s="14" t="s">
        <v>113</v>
      </c>
      <c r="I36" s="13">
        <v>45621</v>
      </c>
      <c r="J36" s="14" t="s">
        <v>147</v>
      </c>
      <c r="K36" s="14" t="s">
        <v>234</v>
      </c>
      <c r="L36" s="14" t="s">
        <v>240</v>
      </c>
      <c r="M36" s="14" t="s">
        <v>240</v>
      </c>
      <c r="N36" s="14" t="s">
        <v>103</v>
      </c>
      <c r="O36" s="14" t="s">
        <v>115</v>
      </c>
      <c r="P36" s="20">
        <v>284081</v>
      </c>
      <c r="Q36" s="20">
        <v>1.1000000000000001</v>
      </c>
      <c r="R36" s="20">
        <v>0.92</v>
      </c>
      <c r="S36" s="20">
        <f t="shared" si="11"/>
        <v>312489.10000000003</v>
      </c>
      <c r="T36" s="20">
        <f t="shared" si="3"/>
        <v>287489.97200000007</v>
      </c>
      <c r="U36" s="20">
        <v>0.1</v>
      </c>
      <c r="V36" s="20">
        <f t="shared" si="8"/>
        <v>284081</v>
      </c>
      <c r="W36" s="20">
        <f t="shared" si="4"/>
        <v>261354.52000000002</v>
      </c>
      <c r="X36" s="23">
        <v>287489.97200000007</v>
      </c>
      <c r="Y36" s="23">
        <v>567096597.14318192</v>
      </c>
      <c r="Z36" s="20">
        <f t="shared" si="1"/>
        <v>1465904787.9398179</v>
      </c>
      <c r="AA36" s="14" t="s">
        <v>109</v>
      </c>
      <c r="AB36" s="14" t="s">
        <v>110</v>
      </c>
      <c r="AC36" s="14" t="s">
        <v>103</v>
      </c>
      <c r="AD36" s="20" t="s">
        <v>103</v>
      </c>
      <c r="AE36" s="14" t="s">
        <v>240</v>
      </c>
      <c r="AF36" s="14" t="s">
        <v>105</v>
      </c>
      <c r="AG36" s="14" t="s">
        <v>33</v>
      </c>
    </row>
    <row r="37" spans="1:46">
      <c r="A37" s="18">
        <v>45503</v>
      </c>
      <c r="B37" s="14" t="s">
        <v>98</v>
      </c>
      <c r="C37" s="14" t="s">
        <v>99</v>
      </c>
      <c r="D37" s="14" t="s">
        <v>100</v>
      </c>
      <c r="E37" s="14" t="s">
        <v>241</v>
      </c>
      <c r="F37" s="14" t="s">
        <v>112</v>
      </c>
      <c r="G37" s="14" t="s">
        <v>172</v>
      </c>
      <c r="H37" s="14" t="s">
        <v>113</v>
      </c>
      <c r="I37" s="14" t="s">
        <v>103</v>
      </c>
      <c r="J37" s="14" t="s">
        <v>44</v>
      </c>
      <c r="K37" s="14" t="s">
        <v>242</v>
      </c>
      <c r="L37" s="14" t="s">
        <v>103</v>
      </c>
      <c r="M37" s="14" t="s">
        <v>103</v>
      </c>
      <c r="N37" s="14" t="s">
        <v>103</v>
      </c>
      <c r="O37" s="14" t="s">
        <v>115</v>
      </c>
      <c r="P37" s="20">
        <v>-4783889</v>
      </c>
      <c r="Q37" s="20">
        <v>1</v>
      </c>
      <c r="R37" s="20">
        <v>0.92</v>
      </c>
      <c r="S37" s="20">
        <f t="shared" ref="S37:S40" si="12">P37</f>
        <v>-4783889</v>
      </c>
      <c r="T37" s="20">
        <f t="shared" si="3"/>
        <v>-4401177.88</v>
      </c>
      <c r="U37" s="20">
        <v>1</v>
      </c>
      <c r="V37" s="20">
        <f t="shared" ref="V37:V40" si="13">S37</f>
        <v>-4783889</v>
      </c>
      <c r="W37" s="20">
        <f t="shared" si="4"/>
        <v>-4401177.88</v>
      </c>
      <c r="X37" s="20">
        <v>-4401177.88</v>
      </c>
      <c r="Y37" s="20">
        <v>567096597.14318192</v>
      </c>
      <c r="Z37" s="20">
        <f t="shared" si="1"/>
        <v>1465904787.9398179</v>
      </c>
      <c r="AA37" s="14" t="s">
        <v>116</v>
      </c>
      <c r="AB37" s="14" t="s">
        <v>117</v>
      </c>
      <c r="AC37" s="14" t="s">
        <v>103</v>
      </c>
      <c r="AD37" s="20" t="s">
        <v>103</v>
      </c>
      <c r="AE37" s="14" t="s">
        <v>103</v>
      </c>
      <c r="AF37" s="14" t="s">
        <v>103</v>
      </c>
      <c r="AG37" s="14" t="s">
        <v>103</v>
      </c>
    </row>
    <row r="38" spans="1:46">
      <c r="A38" s="18">
        <v>45503</v>
      </c>
      <c r="B38" s="14" t="s">
        <v>98</v>
      </c>
      <c r="C38" s="14" t="s">
        <v>99</v>
      </c>
      <c r="D38" s="14" t="s">
        <v>100</v>
      </c>
      <c r="E38" s="14" t="s">
        <v>243</v>
      </c>
      <c r="F38" s="14" t="s">
        <v>102</v>
      </c>
      <c r="G38" s="14" t="s">
        <v>244</v>
      </c>
      <c r="H38" s="14" t="s">
        <v>100</v>
      </c>
      <c r="I38" s="14" t="s">
        <v>103</v>
      </c>
      <c r="J38" s="14" t="s">
        <v>44</v>
      </c>
      <c r="K38" s="14" t="s">
        <v>242</v>
      </c>
      <c r="L38" s="14" t="s">
        <v>103</v>
      </c>
      <c r="M38" s="14" t="s">
        <v>103</v>
      </c>
      <c r="N38" s="14" t="s">
        <v>103</v>
      </c>
      <c r="O38" s="14" t="s">
        <v>245</v>
      </c>
      <c r="P38" s="20">
        <v>9677271</v>
      </c>
      <c r="Q38" s="20">
        <v>1</v>
      </c>
      <c r="R38" s="20">
        <v>1</v>
      </c>
      <c r="S38" s="20">
        <f t="shared" si="12"/>
        <v>9677271</v>
      </c>
      <c r="T38" s="20">
        <f t="shared" si="3"/>
        <v>9677271</v>
      </c>
      <c r="U38" s="20">
        <v>1</v>
      </c>
      <c r="V38" s="20">
        <f t="shared" si="13"/>
        <v>9677271</v>
      </c>
      <c r="W38" s="20">
        <f t="shared" si="4"/>
        <v>9677271</v>
      </c>
      <c r="X38" s="23">
        <v>9677271</v>
      </c>
      <c r="Y38" s="23">
        <v>616409344.72084987</v>
      </c>
      <c r="Z38" s="20">
        <f t="shared" si="1"/>
        <v>1465904787.9398179</v>
      </c>
      <c r="AA38" s="14" t="s">
        <v>116</v>
      </c>
      <c r="AB38" s="14" t="s">
        <v>117</v>
      </c>
      <c r="AC38" s="14" t="s">
        <v>103</v>
      </c>
      <c r="AD38" s="20" t="s">
        <v>103</v>
      </c>
      <c r="AE38" s="14" t="s">
        <v>103</v>
      </c>
      <c r="AF38" s="14" t="s">
        <v>103</v>
      </c>
      <c r="AG38" s="14" t="s">
        <v>103</v>
      </c>
    </row>
    <row r="39" spans="1:46">
      <c r="A39" s="18">
        <v>45503</v>
      </c>
      <c r="B39" s="14" t="s">
        <v>98</v>
      </c>
      <c r="C39" s="14" t="s">
        <v>99</v>
      </c>
      <c r="D39" s="14" t="s">
        <v>100</v>
      </c>
      <c r="E39" s="14" t="s">
        <v>241</v>
      </c>
      <c r="F39" s="14" t="s">
        <v>102</v>
      </c>
      <c r="G39" s="14" t="s">
        <v>244</v>
      </c>
      <c r="H39" s="14" t="s">
        <v>113</v>
      </c>
      <c r="I39" s="14" t="s">
        <v>103</v>
      </c>
      <c r="J39" s="14" t="s">
        <v>44</v>
      </c>
      <c r="K39" s="14" t="s">
        <v>242</v>
      </c>
      <c r="L39" s="14" t="s">
        <v>103</v>
      </c>
      <c r="M39" s="14" t="s">
        <v>103</v>
      </c>
      <c r="N39" s="14" t="s">
        <v>103</v>
      </c>
      <c r="O39" s="14" t="s">
        <v>245</v>
      </c>
      <c r="P39" s="20">
        <f>9677271*0.8</f>
        <v>7741816.8000000007</v>
      </c>
      <c r="Q39" s="21">
        <v>1</v>
      </c>
      <c r="R39" s="21">
        <v>0.92</v>
      </c>
      <c r="S39" s="21">
        <f t="shared" si="12"/>
        <v>7741816.8000000007</v>
      </c>
      <c r="T39" s="20">
        <f t="shared" si="3"/>
        <v>7122471.4560000012</v>
      </c>
      <c r="U39" s="21">
        <v>1</v>
      </c>
      <c r="V39" s="21">
        <f t="shared" si="13"/>
        <v>7741816.8000000007</v>
      </c>
      <c r="W39" s="20">
        <f t="shared" si="4"/>
        <v>7122471.4560000012</v>
      </c>
      <c r="X39" s="21">
        <v>7122471.4560000012</v>
      </c>
      <c r="Y39" s="21">
        <v>567096597.14318192</v>
      </c>
      <c r="Z39" s="20">
        <f t="shared" si="1"/>
        <v>1465904787.9398179</v>
      </c>
      <c r="AA39" s="14" t="s">
        <v>116</v>
      </c>
      <c r="AB39" s="14" t="s">
        <v>117</v>
      </c>
      <c r="AC39" s="14" t="s">
        <v>103</v>
      </c>
      <c r="AD39" s="20" t="s">
        <v>103</v>
      </c>
      <c r="AE39" s="14" t="s">
        <v>103</v>
      </c>
      <c r="AF39" s="14" t="s">
        <v>103</v>
      </c>
      <c r="AG39" s="14" t="s">
        <v>103</v>
      </c>
    </row>
    <row r="40" spans="1:46">
      <c r="A40" s="18">
        <v>45503</v>
      </c>
      <c r="B40" s="14" t="s">
        <v>98</v>
      </c>
      <c r="C40" s="14" t="s">
        <v>99</v>
      </c>
      <c r="D40" s="14" t="s">
        <v>100</v>
      </c>
      <c r="E40" s="14" t="s">
        <v>243</v>
      </c>
      <c r="F40" s="14" t="s">
        <v>102</v>
      </c>
      <c r="G40" s="14" t="s">
        <v>246</v>
      </c>
      <c r="H40" s="14" t="s">
        <v>100</v>
      </c>
      <c r="I40" s="14" t="s">
        <v>103</v>
      </c>
      <c r="J40" s="14" t="s">
        <v>44</v>
      </c>
      <c r="K40" s="14" t="s">
        <v>242</v>
      </c>
      <c r="L40" s="14" t="s">
        <v>103</v>
      </c>
      <c r="M40" s="14" t="s">
        <v>103</v>
      </c>
      <c r="N40" s="14" t="s">
        <v>103</v>
      </c>
      <c r="O40" s="14" t="s">
        <v>153</v>
      </c>
      <c r="P40" s="21">
        <f>9677271*0.95</f>
        <v>9193407.4499999993</v>
      </c>
      <c r="Q40" s="21">
        <v>1</v>
      </c>
      <c r="R40" s="21">
        <v>1</v>
      </c>
      <c r="S40" s="21">
        <f t="shared" si="12"/>
        <v>9193407.4499999993</v>
      </c>
      <c r="T40" s="20">
        <f t="shared" si="3"/>
        <v>9193407.4499999993</v>
      </c>
      <c r="U40" s="21">
        <v>1</v>
      </c>
      <c r="V40" s="21">
        <f t="shared" si="13"/>
        <v>9193407.4499999993</v>
      </c>
      <c r="W40" s="20">
        <f t="shared" si="4"/>
        <v>9193407.4499999993</v>
      </c>
      <c r="X40" s="24">
        <v>9193407.4499999993</v>
      </c>
      <c r="Y40" s="24">
        <v>616409344.72084987</v>
      </c>
      <c r="Z40" s="20">
        <f t="shared" si="1"/>
        <v>1465904787.9398179</v>
      </c>
      <c r="AA40" s="14" t="s">
        <v>116</v>
      </c>
      <c r="AB40" s="14" t="s">
        <v>117</v>
      </c>
      <c r="AC40" s="14" t="s">
        <v>103</v>
      </c>
      <c r="AD40" s="20" t="s">
        <v>103</v>
      </c>
      <c r="AE40" s="14" t="s">
        <v>103</v>
      </c>
      <c r="AF40" s="14" t="s">
        <v>103</v>
      </c>
      <c r="AG40" s="14" t="s">
        <v>103</v>
      </c>
    </row>
    <row r="41" spans="1:46">
      <c r="A41" s="18">
        <v>45503</v>
      </c>
      <c r="B41" s="14" t="s">
        <v>98</v>
      </c>
      <c r="C41" s="14" t="s">
        <v>99</v>
      </c>
      <c r="D41" s="14" t="s">
        <v>100</v>
      </c>
      <c r="E41" s="14" t="s">
        <v>247</v>
      </c>
      <c r="F41" s="14" t="s">
        <v>112</v>
      </c>
      <c r="G41" s="14" t="s">
        <v>172</v>
      </c>
      <c r="H41" s="14" t="s">
        <v>113</v>
      </c>
      <c r="I41" s="13">
        <v>45575</v>
      </c>
      <c r="J41" s="14" t="s">
        <v>248</v>
      </c>
      <c r="K41" s="14" t="s">
        <v>43</v>
      </c>
      <c r="L41" s="14" t="s">
        <v>103</v>
      </c>
      <c r="M41" s="14" t="s">
        <v>103</v>
      </c>
      <c r="N41" s="14" t="s">
        <v>103</v>
      </c>
      <c r="O41" s="14" t="s">
        <v>115</v>
      </c>
      <c r="P41" s="20">
        <v>-34760800</v>
      </c>
      <c r="Q41" s="20">
        <v>0.91200000000000003</v>
      </c>
      <c r="R41" s="20">
        <v>0.92</v>
      </c>
      <c r="S41" s="20">
        <f t="shared" ref="S41:S45" si="14">V41</f>
        <v>-660455.20000000054</v>
      </c>
      <c r="T41" s="20">
        <f t="shared" si="3"/>
        <v>-607618.78400000057</v>
      </c>
      <c r="U41" s="20">
        <v>0.89300000000000002</v>
      </c>
      <c r="V41" s="20">
        <f t="shared" ref="V41:V45" si="15">P41*(Q41-U41)</f>
        <v>-660455.20000000054</v>
      </c>
      <c r="W41" s="20">
        <f t="shared" si="4"/>
        <v>-607618.78400000057</v>
      </c>
      <c r="X41" s="20">
        <v>-29165701.632000003</v>
      </c>
      <c r="Y41" s="20">
        <v>567096597.14318192</v>
      </c>
      <c r="Z41" s="20">
        <f t="shared" si="1"/>
        <v>1465904787.9398179</v>
      </c>
      <c r="AA41" s="14" t="s">
        <v>116</v>
      </c>
      <c r="AB41" s="14" t="s">
        <v>117</v>
      </c>
      <c r="AC41" s="14" t="s">
        <v>103</v>
      </c>
      <c r="AD41" s="20" t="s">
        <v>103</v>
      </c>
      <c r="AE41" s="14" t="s">
        <v>103</v>
      </c>
      <c r="AF41" s="14" t="s">
        <v>103</v>
      </c>
      <c r="AG41" s="14" t="s">
        <v>103</v>
      </c>
    </row>
    <row r="42" spans="1:46">
      <c r="A42" s="18">
        <v>45503</v>
      </c>
      <c r="B42" s="14" t="s">
        <v>98</v>
      </c>
      <c r="C42" s="14" t="s">
        <v>99</v>
      </c>
      <c r="D42" s="14" t="s">
        <v>100</v>
      </c>
      <c r="E42" s="14" t="s">
        <v>249</v>
      </c>
      <c r="F42" s="14" t="s">
        <v>102</v>
      </c>
      <c r="G42" s="14" t="s">
        <v>246</v>
      </c>
      <c r="H42" s="14" t="s">
        <v>137</v>
      </c>
      <c r="I42" s="13">
        <v>45561</v>
      </c>
      <c r="J42" s="14" t="s">
        <v>248</v>
      </c>
      <c r="K42" s="14" t="s">
        <v>43</v>
      </c>
      <c r="L42" s="14" t="s">
        <v>103</v>
      </c>
      <c r="M42" s="14" t="s">
        <v>103</v>
      </c>
      <c r="N42" s="14" t="s">
        <v>103</v>
      </c>
      <c r="O42" s="14" t="s">
        <v>153</v>
      </c>
      <c r="P42" s="20">
        <v>35472800</v>
      </c>
      <c r="Q42" s="20">
        <v>6.5000000000000002E-2</v>
      </c>
      <c r="R42" s="20">
        <v>6.2E-2</v>
      </c>
      <c r="S42" s="20">
        <f t="shared" si="14"/>
        <v>-141891.20000000013</v>
      </c>
      <c r="T42" s="20">
        <f t="shared" si="3"/>
        <v>-8797.2544000000071</v>
      </c>
      <c r="U42" s="20">
        <v>6.9000000000000006E-2</v>
      </c>
      <c r="V42" s="20">
        <f t="shared" si="15"/>
        <v>-141891.20000000013</v>
      </c>
      <c r="W42" s="20">
        <f t="shared" si="4"/>
        <v>-8797.2544000000071</v>
      </c>
      <c r="X42" s="23">
        <v>142955.38399999999</v>
      </c>
      <c r="Y42" s="23">
        <v>38217379.372692689</v>
      </c>
      <c r="Z42" s="20">
        <f t="shared" si="1"/>
        <v>1465904787.9398179</v>
      </c>
      <c r="AA42" s="14" t="s">
        <v>130</v>
      </c>
      <c r="AB42" s="14" t="s">
        <v>117</v>
      </c>
      <c r="AC42" s="14" t="s">
        <v>103</v>
      </c>
      <c r="AD42" s="20" t="s">
        <v>103</v>
      </c>
      <c r="AE42" s="14" t="s">
        <v>103</v>
      </c>
      <c r="AF42" s="14" t="s">
        <v>103</v>
      </c>
      <c r="AG42" s="14" t="s">
        <v>103</v>
      </c>
    </row>
    <row r="43" spans="1:46">
      <c r="A43" s="36">
        <v>45503</v>
      </c>
      <c r="B43" s="37" t="s">
        <v>98</v>
      </c>
      <c r="C43" s="37" t="s">
        <v>99</v>
      </c>
      <c r="D43" s="37" t="s">
        <v>100</v>
      </c>
      <c r="E43" s="37" t="s">
        <v>250</v>
      </c>
      <c r="F43" s="37" t="s">
        <v>102</v>
      </c>
      <c r="G43" s="37" t="s">
        <v>202</v>
      </c>
      <c r="H43" s="37" t="s">
        <v>203</v>
      </c>
      <c r="I43" s="38">
        <v>45559</v>
      </c>
      <c r="J43" s="37" t="s">
        <v>248</v>
      </c>
      <c r="K43" s="37" t="s">
        <v>43</v>
      </c>
      <c r="L43" s="37" t="s">
        <v>103</v>
      </c>
      <c r="M43" s="37" t="s">
        <v>103</v>
      </c>
      <c r="N43" s="37" t="s">
        <v>103</v>
      </c>
      <c r="O43" s="37" t="s">
        <v>245</v>
      </c>
      <c r="P43" s="39">
        <v>75399300</v>
      </c>
      <c r="Q43" s="39">
        <v>0.14000000000000001</v>
      </c>
      <c r="R43" s="39">
        <v>0.13</v>
      </c>
      <c r="S43" s="39">
        <f t="shared" si="14"/>
        <v>753993.0000000007</v>
      </c>
      <c r="T43" s="39">
        <f t="shared" si="3"/>
        <v>98019.090000000098</v>
      </c>
      <c r="U43" s="39">
        <v>0.13</v>
      </c>
      <c r="V43" s="39">
        <f t="shared" si="15"/>
        <v>753993.0000000007</v>
      </c>
      <c r="W43" s="39">
        <f t="shared" si="4"/>
        <v>98019.090000000098</v>
      </c>
      <c r="X43" s="39">
        <v>1372267.26</v>
      </c>
      <c r="Y43" s="39">
        <v>80133214.813710481</v>
      </c>
      <c r="Z43" s="39">
        <f t="shared" si="1"/>
        <v>1465904787.9398179</v>
      </c>
      <c r="AA43" s="37" t="s">
        <v>130</v>
      </c>
      <c r="AB43" s="37" t="s">
        <v>117</v>
      </c>
      <c r="AC43" s="37" t="s">
        <v>103</v>
      </c>
      <c r="AD43" s="39" t="s">
        <v>103</v>
      </c>
      <c r="AE43" s="37" t="s">
        <v>103</v>
      </c>
      <c r="AF43" s="37" t="s">
        <v>103</v>
      </c>
      <c r="AG43" s="37" t="s">
        <v>103</v>
      </c>
    </row>
    <row r="44" spans="1:46">
      <c r="A44" s="40">
        <v>45503</v>
      </c>
      <c r="B44" s="41" t="s">
        <v>98</v>
      </c>
      <c r="C44" s="41" t="s">
        <v>99</v>
      </c>
      <c r="D44" s="41" t="s">
        <v>100</v>
      </c>
      <c r="E44" s="41" t="s">
        <v>251</v>
      </c>
      <c r="F44" s="41" t="s">
        <v>102</v>
      </c>
      <c r="G44" s="41" t="s">
        <v>191</v>
      </c>
      <c r="H44" s="41" t="s">
        <v>169</v>
      </c>
      <c r="I44" s="42">
        <v>45589</v>
      </c>
      <c r="J44" s="41" t="s">
        <v>248</v>
      </c>
      <c r="K44" s="41" t="s">
        <v>43</v>
      </c>
      <c r="L44" s="41" t="s">
        <v>103</v>
      </c>
      <c r="M44" s="41" t="s">
        <v>103</v>
      </c>
      <c r="N44" s="41" t="s">
        <v>103</v>
      </c>
      <c r="O44" s="41" t="s">
        <v>245</v>
      </c>
      <c r="P44" s="43">
        <v>46574800</v>
      </c>
      <c r="Q44" s="43">
        <v>1.1100000000000001</v>
      </c>
      <c r="R44" s="43">
        <v>1.06</v>
      </c>
      <c r="S44" s="43">
        <f t="shared" si="14"/>
        <v>1862992.0000000016</v>
      </c>
      <c r="T44" s="43">
        <f t="shared" si="3"/>
        <v>1974771.5200000019</v>
      </c>
      <c r="U44" s="43">
        <v>1.07</v>
      </c>
      <c r="V44" s="43">
        <f t="shared" si="15"/>
        <v>1862992.0000000016</v>
      </c>
      <c r="W44" s="43">
        <f t="shared" si="4"/>
        <v>1974771.5200000019</v>
      </c>
      <c r="X44" s="44">
        <v>54799909.680000007</v>
      </c>
      <c r="Y44" s="44">
        <v>653393905.40410089</v>
      </c>
      <c r="Z44" s="43">
        <f t="shared" si="1"/>
        <v>1465904787.9398179</v>
      </c>
      <c r="AA44" s="41" t="s">
        <v>130</v>
      </c>
      <c r="AB44" s="41" t="s">
        <v>117</v>
      </c>
      <c r="AC44" s="41" t="s">
        <v>103</v>
      </c>
      <c r="AD44" s="43" t="s">
        <v>103</v>
      </c>
      <c r="AE44" s="41" t="s">
        <v>103</v>
      </c>
      <c r="AF44" s="41" t="s">
        <v>103</v>
      </c>
      <c r="AG44" s="41" t="s">
        <v>103</v>
      </c>
    </row>
    <row r="45" spans="1:46">
      <c r="A45" s="40">
        <v>45503</v>
      </c>
      <c r="B45" s="41" t="s">
        <v>98</v>
      </c>
      <c r="C45" s="41" t="s">
        <v>99</v>
      </c>
      <c r="D45" s="41" t="s">
        <v>100</v>
      </c>
      <c r="E45" s="41" t="s">
        <v>252</v>
      </c>
      <c r="F45" s="41" t="s">
        <v>102</v>
      </c>
      <c r="G45" s="41" t="s">
        <v>157</v>
      </c>
      <c r="H45" s="41" t="s">
        <v>100</v>
      </c>
      <c r="I45" s="42">
        <v>45565</v>
      </c>
      <c r="J45" s="41" t="s">
        <v>147</v>
      </c>
      <c r="K45" s="41" t="s">
        <v>148</v>
      </c>
      <c r="L45" s="41" t="s">
        <v>28</v>
      </c>
      <c r="M45" s="41" t="s">
        <v>28</v>
      </c>
      <c r="N45" s="41" t="s">
        <v>103</v>
      </c>
      <c r="O45" s="41" t="s">
        <v>224</v>
      </c>
      <c r="P45" s="43">
        <v>6540076</v>
      </c>
      <c r="Q45" s="43">
        <v>46.14</v>
      </c>
      <c r="R45" s="43">
        <v>1</v>
      </c>
      <c r="S45" s="43">
        <f t="shared" si="14"/>
        <v>-7128682.8399999756</v>
      </c>
      <c r="T45" s="43">
        <f t="shared" si="3"/>
        <v>-7128682.8399999756</v>
      </c>
      <c r="U45" s="43">
        <v>47.23</v>
      </c>
      <c r="V45" s="43">
        <f t="shared" si="15"/>
        <v>-7128682.8399999756</v>
      </c>
      <c r="W45" s="43">
        <f t="shared" si="4"/>
        <v>-7128682.8399999756</v>
      </c>
      <c r="X45" s="43">
        <v>301759106.63999999</v>
      </c>
      <c r="Y45" s="43">
        <v>616409344.72084987</v>
      </c>
      <c r="Z45" s="43">
        <f t="shared" si="1"/>
        <v>1465904787.9398179</v>
      </c>
      <c r="AA45" s="41" t="s">
        <v>130</v>
      </c>
      <c r="AB45" s="41" t="s">
        <v>117</v>
      </c>
      <c r="AC45" s="45">
        <v>3.9E-2</v>
      </c>
      <c r="AD45" s="43" t="s">
        <v>103</v>
      </c>
      <c r="AE45" s="41" t="s">
        <v>253</v>
      </c>
      <c r="AF45" s="41" t="s">
        <v>125</v>
      </c>
      <c r="AG45" s="41" t="s">
        <v>159</v>
      </c>
      <c r="AT45" s="5"/>
    </row>
    <row r="46" spans="1:46">
      <c r="A46" s="46">
        <v>45503</v>
      </c>
      <c r="B46" s="47" t="s">
        <v>289</v>
      </c>
      <c r="C46" s="47" t="s">
        <v>99</v>
      </c>
      <c r="D46" s="47" t="s">
        <v>100</v>
      </c>
      <c r="E46" s="47" t="s">
        <v>101</v>
      </c>
      <c r="F46" s="47" t="s">
        <v>102</v>
      </c>
      <c r="G46" s="47" t="s">
        <v>103</v>
      </c>
      <c r="H46" s="47" t="s">
        <v>104</v>
      </c>
      <c r="I46" s="47" t="s">
        <v>103</v>
      </c>
      <c r="J46" s="47" t="s">
        <v>105</v>
      </c>
      <c r="K46" s="47" t="s">
        <v>33</v>
      </c>
      <c r="L46" s="47" t="s">
        <v>106</v>
      </c>
      <c r="M46" s="47" t="s">
        <v>106</v>
      </c>
      <c r="N46" s="47" t="s">
        <v>107</v>
      </c>
      <c r="O46" s="47" t="s">
        <v>108</v>
      </c>
      <c r="P46" s="48">
        <v>430621</v>
      </c>
      <c r="Q46" s="48">
        <v>124.14</v>
      </c>
      <c r="R46" s="48">
        <v>0.12</v>
      </c>
      <c r="S46" s="48">
        <v>53457290.939999998</v>
      </c>
      <c r="T46" s="48">
        <v>6414874.9127999991</v>
      </c>
      <c r="U46" s="48">
        <v>110.12</v>
      </c>
      <c r="V46" s="48">
        <v>6037306.4199999981</v>
      </c>
      <c r="W46" s="48">
        <v>724476.77039999969</v>
      </c>
      <c r="X46" s="49">
        <v>6414874.9127999991</v>
      </c>
      <c r="Y46" s="49">
        <v>73969121.366501987</v>
      </c>
      <c r="Z46" s="48">
        <v>366476196.9849546</v>
      </c>
      <c r="AA46" s="47" t="s">
        <v>109</v>
      </c>
      <c r="AB46" s="47" t="s">
        <v>110</v>
      </c>
      <c r="AC46" s="47" t="s">
        <v>103</v>
      </c>
      <c r="AD46" s="48" t="s">
        <v>103</v>
      </c>
      <c r="AE46" s="47" t="s">
        <v>103</v>
      </c>
      <c r="AF46" s="47" t="s">
        <v>103</v>
      </c>
      <c r="AG46" s="47" t="s">
        <v>103</v>
      </c>
      <c r="AT46" s="5"/>
    </row>
    <row r="47" spans="1:46">
      <c r="A47" s="50">
        <v>45503</v>
      </c>
      <c r="B47" s="47" t="s">
        <v>289</v>
      </c>
      <c r="C47" s="47" t="s">
        <v>99</v>
      </c>
      <c r="D47" s="47" t="s">
        <v>100</v>
      </c>
      <c r="E47" s="47" t="s">
        <v>111</v>
      </c>
      <c r="F47" s="47" t="s">
        <v>112</v>
      </c>
      <c r="G47" s="47" t="s">
        <v>103</v>
      </c>
      <c r="H47" s="47" t="s">
        <v>113</v>
      </c>
      <c r="I47" s="47" t="s">
        <v>103</v>
      </c>
      <c r="J47" s="47" t="s">
        <v>105</v>
      </c>
      <c r="K47" s="47" t="s">
        <v>33</v>
      </c>
      <c r="L47" s="47" t="s">
        <v>114</v>
      </c>
      <c r="M47" s="47" t="s">
        <v>114</v>
      </c>
      <c r="N47" s="47" t="s">
        <v>107</v>
      </c>
      <c r="O47" s="47" t="s">
        <v>115</v>
      </c>
      <c r="P47" s="48">
        <v>-64142.080000000002</v>
      </c>
      <c r="Q47" s="48">
        <v>75.22</v>
      </c>
      <c r="R47" s="48">
        <v>0.92</v>
      </c>
      <c r="S47" s="48">
        <v>-4824767.2576000001</v>
      </c>
      <c r="T47" s="48">
        <v>-4438785.8769920003</v>
      </c>
      <c r="U47" s="48">
        <v>73.2</v>
      </c>
      <c r="V47" s="48">
        <v>-129567.00159999974</v>
      </c>
      <c r="W47" s="48">
        <v>-119201.64147199977</v>
      </c>
      <c r="X47" s="48">
        <v>-4438785.8769920003</v>
      </c>
      <c r="Y47" s="48">
        <v>567096597.14318192</v>
      </c>
      <c r="Z47" s="48">
        <v>366476196.9849546</v>
      </c>
      <c r="AA47" s="47" t="s">
        <v>116</v>
      </c>
      <c r="AB47" s="47" t="s">
        <v>117</v>
      </c>
      <c r="AC47" s="47" t="s">
        <v>103</v>
      </c>
      <c r="AD47" s="48" t="s">
        <v>103</v>
      </c>
      <c r="AE47" s="47" t="s">
        <v>103</v>
      </c>
      <c r="AF47" s="47" t="s">
        <v>103</v>
      </c>
      <c r="AG47" s="47" t="s">
        <v>103</v>
      </c>
      <c r="AT47" s="5"/>
    </row>
    <row r="48" spans="1:46">
      <c r="A48" s="50">
        <v>45503</v>
      </c>
      <c r="B48" s="47" t="s">
        <v>289</v>
      </c>
      <c r="C48" s="47" t="s">
        <v>99</v>
      </c>
      <c r="D48" s="47" t="s">
        <v>100</v>
      </c>
      <c r="E48" s="47" t="s">
        <v>118</v>
      </c>
      <c r="F48" s="47" t="s">
        <v>102</v>
      </c>
      <c r="G48" s="47" t="s">
        <v>103</v>
      </c>
      <c r="H48" s="47" t="s">
        <v>119</v>
      </c>
      <c r="I48" s="47" t="s">
        <v>103</v>
      </c>
      <c r="J48" s="47" t="s">
        <v>105</v>
      </c>
      <c r="K48" s="47" t="s">
        <v>34</v>
      </c>
      <c r="L48" s="47" t="s">
        <v>120</v>
      </c>
      <c r="M48" s="47" t="s">
        <v>121</v>
      </c>
      <c r="N48" s="47" t="s">
        <v>107</v>
      </c>
      <c r="O48" s="47" t="s">
        <v>122</v>
      </c>
      <c r="P48" s="48">
        <v>113810.632</v>
      </c>
      <c r="Q48" s="48">
        <v>598.15</v>
      </c>
      <c r="R48" s="48">
        <v>6.7000000000000004E-2</v>
      </c>
      <c r="S48" s="48">
        <v>68075829.5308</v>
      </c>
      <c r="T48" s="48">
        <v>4561080.5785635998</v>
      </c>
      <c r="U48" s="48">
        <v>596.33000000000004</v>
      </c>
      <c r="V48" s="48">
        <v>207135.35023999275</v>
      </c>
      <c r="W48" s="48">
        <v>13878.068466079516</v>
      </c>
      <c r="X48" s="48">
        <v>4561080.5785635998</v>
      </c>
      <c r="Y48" s="48">
        <v>41299426.096296944</v>
      </c>
      <c r="Z48" s="48">
        <v>366476196.9849546</v>
      </c>
      <c r="AA48" s="47" t="s">
        <v>109</v>
      </c>
      <c r="AB48" s="47" t="s">
        <v>110</v>
      </c>
      <c r="AC48" s="47" t="s">
        <v>103</v>
      </c>
      <c r="AD48" s="48" t="s">
        <v>103</v>
      </c>
      <c r="AE48" s="47" t="s">
        <v>123</v>
      </c>
      <c r="AF48" s="47" t="s">
        <v>105</v>
      </c>
      <c r="AG48" s="47" t="s">
        <v>33</v>
      </c>
      <c r="AT48" s="5"/>
    </row>
    <row r="49" spans="1:46">
      <c r="A49" s="46">
        <v>45503</v>
      </c>
      <c r="B49" s="47" t="s">
        <v>289</v>
      </c>
      <c r="C49" s="47" t="s">
        <v>99</v>
      </c>
      <c r="D49" s="47" t="s">
        <v>100</v>
      </c>
      <c r="E49" s="47" t="s">
        <v>124</v>
      </c>
      <c r="F49" s="47" t="s">
        <v>102</v>
      </c>
      <c r="G49" s="47" t="s">
        <v>103</v>
      </c>
      <c r="H49" s="47" t="s">
        <v>100</v>
      </c>
      <c r="I49" s="47">
        <v>47253</v>
      </c>
      <c r="J49" s="47" t="s">
        <v>125</v>
      </c>
      <c r="K49" s="47" t="s">
        <v>126</v>
      </c>
      <c r="L49" s="47" t="s">
        <v>127</v>
      </c>
      <c r="M49" s="47" t="s">
        <v>128</v>
      </c>
      <c r="N49" s="47" t="s">
        <v>107</v>
      </c>
      <c r="O49" s="47" t="s">
        <v>129</v>
      </c>
      <c r="P49" s="48">
        <v>232396.5</v>
      </c>
      <c r="Q49" s="48">
        <v>100.09</v>
      </c>
      <c r="R49" s="48">
        <v>1</v>
      </c>
      <c r="S49" s="48">
        <v>23260565.685000002</v>
      </c>
      <c r="T49" s="48">
        <v>23260565.685000002</v>
      </c>
      <c r="U49" s="48">
        <v>100.4</v>
      </c>
      <c r="V49" s="48">
        <v>-72042.915000000532</v>
      </c>
      <c r="W49" s="48">
        <v>-72042.915000000532</v>
      </c>
      <c r="X49" s="48">
        <v>23260565.685000002</v>
      </c>
      <c r="Y49" s="48">
        <v>616409344.72084987</v>
      </c>
      <c r="Z49" s="48">
        <v>366476196.9849546</v>
      </c>
      <c r="AA49" s="47" t="s">
        <v>130</v>
      </c>
      <c r="AB49" s="47" t="s">
        <v>117</v>
      </c>
      <c r="AC49" s="47">
        <v>4.5999999999999999E-2</v>
      </c>
      <c r="AD49" s="48">
        <v>54195500</v>
      </c>
      <c r="AE49" s="47" t="s">
        <v>103</v>
      </c>
      <c r="AF49" s="47" t="s">
        <v>103</v>
      </c>
      <c r="AG49" s="47" t="s">
        <v>103</v>
      </c>
      <c r="AT49" s="5"/>
    </row>
    <row r="50" spans="1:46">
      <c r="A50" s="46">
        <v>45503</v>
      </c>
      <c r="B50" s="47" t="s">
        <v>289</v>
      </c>
      <c r="C50" s="47" t="s">
        <v>99</v>
      </c>
      <c r="D50" s="47" t="s">
        <v>100</v>
      </c>
      <c r="E50" s="47" t="s">
        <v>131</v>
      </c>
      <c r="F50" s="47" t="s">
        <v>102</v>
      </c>
      <c r="G50" s="47" t="s">
        <v>103</v>
      </c>
      <c r="H50" s="47" t="s">
        <v>113</v>
      </c>
      <c r="I50" s="47">
        <v>49095</v>
      </c>
      <c r="J50" s="47" t="s">
        <v>125</v>
      </c>
      <c r="K50" s="47" t="s">
        <v>132</v>
      </c>
      <c r="L50" s="47" t="s">
        <v>133</v>
      </c>
      <c r="M50" s="47" t="s">
        <v>134</v>
      </c>
      <c r="N50" s="47" t="s">
        <v>135</v>
      </c>
      <c r="O50" s="47" t="s">
        <v>115</v>
      </c>
      <c r="P50" s="48">
        <v>250731.25</v>
      </c>
      <c r="Q50" s="48">
        <v>96.78</v>
      </c>
      <c r="R50" s="48">
        <v>0.92</v>
      </c>
      <c r="S50" s="48">
        <v>24265770.375</v>
      </c>
      <c r="T50" s="48">
        <v>22324508.745000001</v>
      </c>
      <c r="U50" s="48">
        <v>94.3</v>
      </c>
      <c r="V50" s="48">
        <v>621813.50000000105</v>
      </c>
      <c r="W50" s="48">
        <v>572068.42000000097</v>
      </c>
      <c r="X50" s="48">
        <v>22324508.745000005</v>
      </c>
      <c r="Y50" s="48">
        <v>567096597.14318192</v>
      </c>
      <c r="Z50" s="48">
        <v>366476196.9849546</v>
      </c>
      <c r="AA50" s="47" t="s">
        <v>116</v>
      </c>
      <c r="AB50" s="47" t="s">
        <v>117</v>
      </c>
      <c r="AC50" s="47">
        <v>2.4E-2</v>
      </c>
      <c r="AD50" s="48">
        <v>250731250</v>
      </c>
      <c r="AE50" s="47" t="s">
        <v>103</v>
      </c>
      <c r="AF50" s="47" t="s">
        <v>103</v>
      </c>
      <c r="AG50" s="47" t="s">
        <v>103</v>
      </c>
      <c r="AT50" s="5"/>
    </row>
    <row r="51" spans="1:46">
      <c r="A51" s="46">
        <v>45503</v>
      </c>
      <c r="B51" s="47" t="s">
        <v>289</v>
      </c>
      <c r="C51" s="47" t="s">
        <v>99</v>
      </c>
      <c r="D51" s="47" t="s">
        <v>100</v>
      </c>
      <c r="E51" s="47" t="s">
        <v>136</v>
      </c>
      <c r="F51" s="47" t="s">
        <v>102</v>
      </c>
      <c r="G51" s="47" t="s">
        <v>103</v>
      </c>
      <c r="H51" s="47" t="s">
        <v>137</v>
      </c>
      <c r="I51" s="47" t="s">
        <v>103</v>
      </c>
      <c r="J51" s="47" t="s">
        <v>105</v>
      </c>
      <c r="K51" s="47" t="s">
        <v>33</v>
      </c>
      <c r="L51" s="47" t="s">
        <v>138</v>
      </c>
      <c r="M51" s="47" t="s">
        <v>139</v>
      </c>
      <c r="N51" s="47" t="s">
        <v>107</v>
      </c>
      <c r="O51" s="47" t="s">
        <v>140</v>
      </c>
      <c r="P51" s="48">
        <v>179604.25</v>
      </c>
      <c r="Q51" s="48">
        <v>849.12</v>
      </c>
      <c r="R51" s="48">
        <v>7.0000000000000001E-3</v>
      </c>
      <c r="S51" s="48">
        <v>152505560.75999999</v>
      </c>
      <c r="T51" s="48">
        <v>1067538.9253199999</v>
      </c>
      <c r="U51" s="48">
        <v>870.26</v>
      </c>
      <c r="V51" s="48">
        <v>-3796833.8449999974</v>
      </c>
      <c r="W51" s="48">
        <v>-26577.836914999982</v>
      </c>
      <c r="X51" s="48">
        <v>1067538.9253199999</v>
      </c>
      <c r="Y51" s="48">
        <v>4314865.4130459493</v>
      </c>
      <c r="Z51" s="48">
        <v>366476196.9849546</v>
      </c>
      <c r="AA51" s="47" t="s">
        <v>109</v>
      </c>
      <c r="AB51" s="47" t="s">
        <v>110</v>
      </c>
      <c r="AC51" s="47" t="s">
        <v>103</v>
      </c>
      <c r="AD51" s="48" t="s">
        <v>103</v>
      </c>
      <c r="AE51" s="47" t="s">
        <v>103</v>
      </c>
      <c r="AF51" s="47" t="s">
        <v>103</v>
      </c>
      <c r="AG51" s="47" t="s">
        <v>103</v>
      </c>
      <c r="AT51" s="5"/>
    </row>
    <row r="52" spans="1:46">
      <c r="A52" s="46">
        <v>45503</v>
      </c>
      <c r="B52" s="47" t="s">
        <v>289</v>
      </c>
      <c r="C52" s="47" t="s">
        <v>99</v>
      </c>
      <c r="D52" s="47" t="s">
        <v>100</v>
      </c>
      <c r="E52" s="47" t="s">
        <v>141</v>
      </c>
      <c r="F52" s="47" t="s">
        <v>102</v>
      </c>
      <c r="G52" s="47" t="s">
        <v>103</v>
      </c>
      <c r="H52" s="47" t="s">
        <v>100</v>
      </c>
      <c r="I52" s="47">
        <v>46234</v>
      </c>
      <c r="J52" s="47" t="s">
        <v>105</v>
      </c>
      <c r="K52" s="47" t="s">
        <v>35</v>
      </c>
      <c r="L52" s="47" t="s">
        <v>142</v>
      </c>
      <c r="M52" s="47" t="s">
        <v>142</v>
      </c>
      <c r="N52" s="47" t="s">
        <v>107</v>
      </c>
      <c r="O52" s="47" t="s">
        <v>143</v>
      </c>
      <c r="P52" s="48">
        <v>2550578.25</v>
      </c>
      <c r="Q52" s="48">
        <v>0.9</v>
      </c>
      <c r="R52" s="48">
        <v>1</v>
      </c>
      <c r="S52" s="48">
        <v>2295520.4250000003</v>
      </c>
      <c r="T52" s="48">
        <v>2295520.4250000003</v>
      </c>
      <c r="U52" s="48">
        <v>0.91</v>
      </c>
      <c r="V52" s="48">
        <v>-25505.782500000023</v>
      </c>
      <c r="W52" s="48">
        <v>-25505.782500000023</v>
      </c>
      <c r="X52" s="48">
        <v>2295520.4250000003</v>
      </c>
      <c r="Y52" s="48">
        <v>616409344.72084987</v>
      </c>
      <c r="Z52" s="48">
        <v>366476196.9849546</v>
      </c>
      <c r="AA52" s="47" t="s">
        <v>130</v>
      </c>
      <c r="AB52" s="47" t="s">
        <v>117</v>
      </c>
      <c r="AC52" s="47" t="s">
        <v>103</v>
      </c>
      <c r="AD52" s="48" t="s">
        <v>103</v>
      </c>
      <c r="AE52" s="47" t="s">
        <v>144</v>
      </c>
      <c r="AF52" s="47" t="s">
        <v>105</v>
      </c>
      <c r="AG52" s="47" t="s">
        <v>33</v>
      </c>
      <c r="AT52" s="5"/>
    </row>
    <row r="53" spans="1:46">
      <c r="A53" s="46">
        <v>45503</v>
      </c>
      <c r="B53" s="47" t="s">
        <v>289</v>
      </c>
      <c r="C53" s="47" t="s">
        <v>99</v>
      </c>
      <c r="D53" s="47" t="s">
        <v>100</v>
      </c>
      <c r="E53" s="47" t="s">
        <v>145</v>
      </c>
      <c r="F53" s="47" t="s">
        <v>102</v>
      </c>
      <c r="G53" s="47" t="s">
        <v>146</v>
      </c>
      <c r="H53" s="47" t="s">
        <v>113</v>
      </c>
      <c r="I53" s="47">
        <v>45646</v>
      </c>
      <c r="J53" s="47" t="s">
        <v>147</v>
      </c>
      <c r="K53" s="47" t="s">
        <v>148</v>
      </c>
      <c r="L53" s="47" t="s">
        <v>28</v>
      </c>
      <c r="M53" s="47" t="s">
        <v>28</v>
      </c>
      <c r="N53" s="47" t="s">
        <v>103</v>
      </c>
      <c r="O53" s="47" t="s">
        <v>115</v>
      </c>
      <c r="P53" s="48">
        <v>5991000</v>
      </c>
      <c r="Q53" s="48">
        <v>34.119999999999997</v>
      </c>
      <c r="R53" s="48">
        <v>0.92</v>
      </c>
      <c r="S53" s="48">
        <v>-119820</v>
      </c>
      <c r="T53" s="48">
        <v>-110234.40000000001</v>
      </c>
      <c r="U53" s="48">
        <v>36.119999999999997</v>
      </c>
      <c r="V53" s="48">
        <v>-119820</v>
      </c>
      <c r="W53" s="48">
        <v>-110234.40000000001</v>
      </c>
      <c r="X53" s="48">
        <v>188059886.40000001</v>
      </c>
      <c r="Y53" s="48">
        <v>567096597.14318192</v>
      </c>
      <c r="Z53" s="48">
        <v>366476196.9849546</v>
      </c>
      <c r="AA53" s="47" t="s">
        <v>116</v>
      </c>
      <c r="AB53" s="47" t="s">
        <v>117</v>
      </c>
      <c r="AC53" s="47">
        <v>4.2999999999999997E-2</v>
      </c>
      <c r="AD53" s="48" t="s">
        <v>103</v>
      </c>
      <c r="AE53" s="47" t="s">
        <v>149</v>
      </c>
      <c r="AF53" s="47" t="s">
        <v>125</v>
      </c>
      <c r="AG53" s="47" t="s">
        <v>150</v>
      </c>
      <c r="AT53" s="5"/>
    </row>
    <row r="54" spans="1:46">
      <c r="A54" s="46">
        <v>45503</v>
      </c>
      <c r="B54" s="47" t="s">
        <v>289</v>
      </c>
      <c r="C54" s="47" t="s">
        <v>99</v>
      </c>
      <c r="D54" s="47" t="s">
        <v>100</v>
      </c>
      <c r="E54" s="47" t="s">
        <v>151</v>
      </c>
      <c r="F54" s="47" t="s">
        <v>112</v>
      </c>
      <c r="G54" s="47" t="s">
        <v>103</v>
      </c>
      <c r="H54" s="47" t="s">
        <v>100</v>
      </c>
      <c r="I54" s="47">
        <v>49125</v>
      </c>
      <c r="J54" s="47" t="s">
        <v>125</v>
      </c>
      <c r="K54" s="47" t="s">
        <v>126</v>
      </c>
      <c r="L54" s="47" t="s">
        <v>152</v>
      </c>
      <c r="M54" s="47" t="s">
        <v>152</v>
      </c>
      <c r="N54" s="47" t="s">
        <v>107</v>
      </c>
      <c r="O54" s="47" t="s">
        <v>153</v>
      </c>
      <c r="P54" s="48">
        <v>-262708.25</v>
      </c>
      <c r="Q54" s="48">
        <v>107.83</v>
      </c>
      <c r="R54" s="48">
        <v>1</v>
      </c>
      <c r="S54" s="48">
        <v>-28327830.5975</v>
      </c>
      <c r="T54" s="48">
        <v>-28327830.5975</v>
      </c>
      <c r="U54" s="48">
        <v>107.2</v>
      </c>
      <c r="V54" s="48">
        <v>-165506.19749999882</v>
      </c>
      <c r="W54" s="48">
        <v>-165506.19749999882</v>
      </c>
      <c r="X54" s="48">
        <v>-28327830.5975</v>
      </c>
      <c r="Y54" s="48">
        <v>616409344.72084987</v>
      </c>
      <c r="Z54" s="48">
        <v>366476196.9849546</v>
      </c>
      <c r="AA54" s="47" t="s">
        <v>130</v>
      </c>
      <c r="AB54" s="47" t="s">
        <v>117</v>
      </c>
      <c r="AC54" s="47">
        <v>2.9000000000000001E-2</v>
      </c>
      <c r="AD54" s="48">
        <v>6567700</v>
      </c>
      <c r="AE54" s="47" t="s">
        <v>103</v>
      </c>
      <c r="AF54" s="47" t="s">
        <v>103</v>
      </c>
      <c r="AG54" s="47" t="s">
        <v>103</v>
      </c>
      <c r="AT54" s="5"/>
    </row>
    <row r="55" spans="1:46">
      <c r="A55" s="46">
        <v>45503</v>
      </c>
      <c r="B55" s="47" t="s">
        <v>289</v>
      </c>
      <c r="C55" s="47" t="s">
        <v>99</v>
      </c>
      <c r="D55" s="47" t="s">
        <v>100</v>
      </c>
      <c r="E55" s="47" t="s">
        <v>154</v>
      </c>
      <c r="F55" s="47" t="s">
        <v>102</v>
      </c>
      <c r="G55" s="47" t="s">
        <v>103</v>
      </c>
      <c r="H55" s="47" t="s">
        <v>100</v>
      </c>
      <c r="I55" s="47" t="s">
        <v>103</v>
      </c>
      <c r="J55" s="47" t="s">
        <v>105</v>
      </c>
      <c r="K55" s="47" t="s">
        <v>36</v>
      </c>
      <c r="L55" s="47" t="s">
        <v>155</v>
      </c>
      <c r="M55" s="47" t="s">
        <v>155</v>
      </c>
      <c r="N55" s="47" t="s">
        <v>107</v>
      </c>
      <c r="O55" s="47" t="s">
        <v>115</v>
      </c>
      <c r="P55" s="48">
        <v>96000</v>
      </c>
      <c r="Q55" s="48">
        <v>4.6500000000000004</v>
      </c>
      <c r="R55" s="48">
        <v>0.92</v>
      </c>
      <c r="S55" s="48">
        <v>446400.00000000006</v>
      </c>
      <c r="T55" s="48">
        <v>410688.00000000006</v>
      </c>
      <c r="U55" s="48">
        <v>4.2</v>
      </c>
      <c r="V55" s="48">
        <v>43200.000000000015</v>
      </c>
      <c r="W55" s="48">
        <v>39744.000000000015</v>
      </c>
      <c r="X55" s="48">
        <v>410688.00000000006</v>
      </c>
      <c r="Y55" s="48">
        <v>567096597.14318192</v>
      </c>
      <c r="Z55" s="48">
        <v>366476196.9849546</v>
      </c>
      <c r="AA55" s="47" t="s">
        <v>116</v>
      </c>
      <c r="AB55" s="47" t="s">
        <v>117</v>
      </c>
      <c r="AC55" s="47" t="s">
        <v>103</v>
      </c>
      <c r="AD55" s="48" t="s">
        <v>103</v>
      </c>
      <c r="AE55" s="47" t="s">
        <v>103</v>
      </c>
      <c r="AF55" s="47" t="s">
        <v>103</v>
      </c>
      <c r="AG55" s="47" t="s">
        <v>103</v>
      </c>
      <c r="AT55" s="5"/>
    </row>
    <row r="56" spans="1:46">
      <c r="A56" s="46">
        <v>45503</v>
      </c>
      <c r="B56" s="47" t="s">
        <v>289</v>
      </c>
      <c r="C56" s="47" t="s">
        <v>99</v>
      </c>
      <c r="D56" s="47" t="s">
        <v>100</v>
      </c>
      <c r="E56" s="47" t="s">
        <v>156</v>
      </c>
      <c r="F56" s="47" t="s">
        <v>102</v>
      </c>
      <c r="G56" s="47" t="s">
        <v>157</v>
      </c>
      <c r="H56" s="47" t="s">
        <v>113</v>
      </c>
      <c r="I56" s="47">
        <v>45709</v>
      </c>
      <c r="J56" s="47" t="s">
        <v>147</v>
      </c>
      <c r="K56" s="47" t="s">
        <v>148</v>
      </c>
      <c r="L56" s="47" t="s">
        <v>28</v>
      </c>
      <c r="M56" s="47" t="s">
        <v>28</v>
      </c>
      <c r="N56" s="47" t="s">
        <v>103</v>
      </c>
      <c r="O56" s="47" t="s">
        <v>115</v>
      </c>
      <c r="P56" s="48">
        <v>7655432</v>
      </c>
      <c r="Q56" s="48">
        <v>42.76</v>
      </c>
      <c r="R56" s="48">
        <v>0.92</v>
      </c>
      <c r="S56" s="48">
        <v>154639.72639999969</v>
      </c>
      <c r="T56" s="48">
        <v>142268.54828799973</v>
      </c>
      <c r="U56" s="48">
        <v>40.74</v>
      </c>
      <c r="V56" s="48">
        <v>154639.72639999969</v>
      </c>
      <c r="W56" s="48">
        <v>142268.54828799973</v>
      </c>
      <c r="X56" s="48">
        <v>301158570.53439999</v>
      </c>
      <c r="Y56" s="48">
        <v>567096597.14318192</v>
      </c>
      <c r="Z56" s="48">
        <v>366476196.9849546</v>
      </c>
      <c r="AA56" s="47" t="s">
        <v>130</v>
      </c>
      <c r="AB56" s="47" t="s">
        <v>117</v>
      </c>
      <c r="AC56" s="47">
        <v>4.3999999999999997E-2</v>
      </c>
      <c r="AD56" s="48" t="s">
        <v>103</v>
      </c>
      <c r="AE56" s="47" t="s">
        <v>158</v>
      </c>
      <c r="AF56" s="47" t="s">
        <v>125</v>
      </c>
      <c r="AG56" s="47" t="s">
        <v>159</v>
      </c>
      <c r="AT56" s="5"/>
    </row>
    <row r="57" spans="1:46">
      <c r="A57" s="46">
        <v>45503</v>
      </c>
      <c r="B57" s="47" t="s">
        <v>289</v>
      </c>
      <c r="C57" s="47" t="s">
        <v>99</v>
      </c>
      <c r="D57" s="47" t="s">
        <v>100</v>
      </c>
      <c r="E57" s="47" t="s">
        <v>160</v>
      </c>
      <c r="F57" s="47" t="s">
        <v>102</v>
      </c>
      <c r="G57" s="47" t="s">
        <v>103</v>
      </c>
      <c r="H57" s="47" t="s">
        <v>113</v>
      </c>
      <c r="I57" s="47">
        <v>46295</v>
      </c>
      <c r="J57" s="47" t="s">
        <v>125</v>
      </c>
      <c r="K57" s="47" t="s">
        <v>126</v>
      </c>
      <c r="L57" s="47" t="s">
        <v>161</v>
      </c>
      <c r="M57" s="47" t="s">
        <v>161</v>
      </c>
      <c r="N57" s="47" t="s">
        <v>107</v>
      </c>
      <c r="O57" s="47" t="s">
        <v>115</v>
      </c>
      <c r="P57" s="48">
        <v>265431.25</v>
      </c>
      <c r="Q57" s="48">
        <v>109.23</v>
      </c>
      <c r="R57" s="48">
        <v>0.92</v>
      </c>
      <c r="S57" s="48">
        <v>28993055.4375</v>
      </c>
      <c r="T57" s="48">
        <v>26673611.002500001</v>
      </c>
      <c r="U57" s="48">
        <v>109.4</v>
      </c>
      <c r="V57" s="48">
        <v>-45123.312500000451</v>
      </c>
      <c r="W57" s="48">
        <v>-41513.447500000417</v>
      </c>
      <c r="X57" s="48">
        <v>26673611.002500001</v>
      </c>
      <c r="Y57" s="48">
        <v>567096597.14318192</v>
      </c>
      <c r="Z57" s="48">
        <v>366476196.9849546</v>
      </c>
      <c r="AA57" s="47" t="s">
        <v>116</v>
      </c>
      <c r="AB57" s="47" t="s">
        <v>117</v>
      </c>
      <c r="AC57" s="47">
        <v>4.4999999999999998E-2</v>
      </c>
      <c r="AD57" s="48">
        <v>8538000</v>
      </c>
      <c r="AE57" s="47" t="s">
        <v>103</v>
      </c>
      <c r="AF57" s="47" t="s">
        <v>103</v>
      </c>
      <c r="AG57" s="47" t="s">
        <v>103</v>
      </c>
      <c r="AT57" s="5"/>
    </row>
    <row r="58" spans="1:46">
      <c r="A58" s="46">
        <v>45503</v>
      </c>
      <c r="B58" s="47" t="s">
        <v>289</v>
      </c>
      <c r="C58" s="47" t="s">
        <v>99</v>
      </c>
      <c r="D58" s="47" t="s">
        <v>100</v>
      </c>
      <c r="E58" s="47" t="s">
        <v>162</v>
      </c>
      <c r="F58" s="47" t="s">
        <v>112</v>
      </c>
      <c r="G58" s="47" t="s">
        <v>163</v>
      </c>
      <c r="H58" s="47" t="s">
        <v>113</v>
      </c>
      <c r="I58" s="47">
        <v>45562</v>
      </c>
      <c r="J58" s="47" t="s">
        <v>164</v>
      </c>
      <c r="K58" s="47" t="s">
        <v>37</v>
      </c>
      <c r="L58" s="47" t="s">
        <v>165</v>
      </c>
      <c r="M58" s="47" t="s">
        <v>166</v>
      </c>
      <c r="N58" s="47" t="s">
        <v>103</v>
      </c>
      <c r="O58" s="47" t="s">
        <v>115</v>
      </c>
      <c r="P58" s="48">
        <v>2767113.75</v>
      </c>
      <c r="Q58" s="48">
        <v>2.4</v>
      </c>
      <c r="R58" s="48">
        <v>0.92</v>
      </c>
      <c r="S58" s="48">
        <v>6641073</v>
      </c>
      <c r="T58" s="48">
        <v>6109787.1600000001</v>
      </c>
      <c r="U58" s="48">
        <v>2.1</v>
      </c>
      <c r="V58" s="48">
        <v>830134.12499999953</v>
      </c>
      <c r="W58" s="48">
        <v>763723.39499999955</v>
      </c>
      <c r="X58" s="48">
        <v>6109787.1600000001</v>
      </c>
      <c r="Y58" s="48">
        <v>567096597.14318192</v>
      </c>
      <c r="Z58" s="48">
        <v>366476196.9849546</v>
      </c>
      <c r="AA58" s="47" t="s">
        <v>116</v>
      </c>
      <c r="AB58" s="47" t="s">
        <v>117</v>
      </c>
      <c r="AC58" s="47" t="s">
        <v>103</v>
      </c>
      <c r="AD58" s="48" t="s">
        <v>103</v>
      </c>
      <c r="AE58" s="47" t="s">
        <v>167</v>
      </c>
      <c r="AF58" s="47" t="s">
        <v>105</v>
      </c>
      <c r="AG58" s="47" t="s">
        <v>33</v>
      </c>
      <c r="AT58" s="5"/>
    </row>
    <row r="59" spans="1:46">
      <c r="A59" s="46">
        <v>45503</v>
      </c>
      <c r="B59" s="47" t="s">
        <v>289</v>
      </c>
      <c r="C59" s="47" t="s">
        <v>99</v>
      </c>
      <c r="D59" s="47" t="s">
        <v>100</v>
      </c>
      <c r="E59" s="47" t="s">
        <v>168</v>
      </c>
      <c r="F59" s="47" t="s">
        <v>102</v>
      </c>
      <c r="G59" s="47" t="s">
        <v>103</v>
      </c>
      <c r="H59" s="47" t="s">
        <v>169</v>
      </c>
      <c r="I59" s="47" t="s">
        <v>103</v>
      </c>
      <c r="J59" s="47" t="s">
        <v>105</v>
      </c>
      <c r="K59" s="47" t="s">
        <v>33</v>
      </c>
      <c r="L59" s="47" t="s">
        <v>170</v>
      </c>
      <c r="M59" s="47" t="s">
        <v>170</v>
      </c>
      <c r="N59" s="47" t="s">
        <v>107</v>
      </c>
      <c r="O59" s="47" t="s">
        <v>153</v>
      </c>
      <c r="P59" s="48">
        <v>19218.2</v>
      </c>
      <c r="Q59" s="48">
        <v>76.400000000000006</v>
      </c>
      <c r="R59" s="48">
        <v>1.1499999999999999</v>
      </c>
      <c r="S59" s="48">
        <v>1468270.4800000002</v>
      </c>
      <c r="T59" s="48">
        <v>1688511.0520000001</v>
      </c>
      <c r="U59" s="48">
        <v>73.11</v>
      </c>
      <c r="V59" s="48">
        <v>63227.878000000121</v>
      </c>
      <c r="W59" s="48">
        <v>72712.059700000129</v>
      </c>
      <c r="X59" s="48">
        <v>1688511.0520000001</v>
      </c>
      <c r="Y59" s="48">
        <v>708870746.42897725</v>
      </c>
      <c r="Z59" s="48">
        <v>366476196.9849546</v>
      </c>
      <c r="AA59" s="47" t="s">
        <v>130</v>
      </c>
      <c r="AB59" s="47" t="s">
        <v>117</v>
      </c>
      <c r="AC59" s="47" t="s">
        <v>103</v>
      </c>
      <c r="AD59" s="48" t="s">
        <v>103</v>
      </c>
      <c r="AE59" s="47" t="s">
        <v>103</v>
      </c>
      <c r="AF59" s="47" t="s">
        <v>103</v>
      </c>
      <c r="AG59" s="47" t="s">
        <v>103</v>
      </c>
      <c r="AT59" s="5"/>
    </row>
    <row r="60" spans="1:46">
      <c r="A60" s="46">
        <v>45503</v>
      </c>
      <c r="B60" s="47" t="s">
        <v>289</v>
      </c>
      <c r="C60" s="47" t="s">
        <v>99</v>
      </c>
      <c r="D60" s="47" t="s">
        <v>100</v>
      </c>
      <c r="E60" s="47" t="s">
        <v>171</v>
      </c>
      <c r="F60" s="47" t="s">
        <v>102</v>
      </c>
      <c r="G60" s="47" t="s">
        <v>172</v>
      </c>
      <c r="H60" s="47" t="s">
        <v>113</v>
      </c>
      <c r="I60" s="47">
        <v>45562</v>
      </c>
      <c r="J60" s="47" t="s">
        <v>164</v>
      </c>
      <c r="K60" s="47" t="s">
        <v>41</v>
      </c>
      <c r="L60" s="47" t="s">
        <v>173</v>
      </c>
      <c r="M60" s="47" t="s">
        <v>173</v>
      </c>
      <c r="N60" s="47" t="s">
        <v>103</v>
      </c>
      <c r="O60" s="47" t="s">
        <v>115</v>
      </c>
      <c r="P60" s="48">
        <v>2465433.5</v>
      </c>
      <c r="Q60" s="48">
        <v>3.5</v>
      </c>
      <c r="R60" s="48">
        <v>0.92</v>
      </c>
      <c r="S60" s="48">
        <v>8629017.25</v>
      </c>
      <c r="T60" s="48">
        <v>7938695.8700000001</v>
      </c>
      <c r="U60" s="48">
        <v>3.1</v>
      </c>
      <c r="V60" s="48">
        <v>986173.39999999979</v>
      </c>
      <c r="W60" s="48">
        <v>907279.52799999982</v>
      </c>
      <c r="X60" s="48">
        <v>7938695.8700000001</v>
      </c>
      <c r="Y60" s="48">
        <v>567096597.14318192</v>
      </c>
      <c r="Z60" s="48">
        <v>366476196.9849546</v>
      </c>
      <c r="AA60" s="47" t="s">
        <v>116</v>
      </c>
      <c r="AB60" s="47" t="s">
        <v>117</v>
      </c>
      <c r="AC60" s="47" t="s">
        <v>103</v>
      </c>
      <c r="AD60" s="48" t="s">
        <v>103</v>
      </c>
      <c r="AE60" s="47" t="s">
        <v>173</v>
      </c>
      <c r="AF60" s="47" t="s">
        <v>174</v>
      </c>
      <c r="AG60" s="47" t="s">
        <v>175</v>
      </c>
      <c r="AT60" s="5"/>
    </row>
    <row r="61" spans="1:46">
      <c r="A61" s="46">
        <v>45503</v>
      </c>
      <c r="B61" s="47" t="s">
        <v>289</v>
      </c>
      <c r="C61" s="47" t="s">
        <v>99</v>
      </c>
      <c r="D61" s="47" t="s">
        <v>100</v>
      </c>
      <c r="E61" s="47" t="s">
        <v>176</v>
      </c>
      <c r="F61" s="47" t="s">
        <v>112</v>
      </c>
      <c r="G61" s="47" t="s">
        <v>103</v>
      </c>
      <c r="H61" s="47" t="s">
        <v>100</v>
      </c>
      <c r="I61" s="47" t="s">
        <v>103</v>
      </c>
      <c r="J61" s="47" t="s">
        <v>105</v>
      </c>
      <c r="K61" s="47" t="s">
        <v>33</v>
      </c>
      <c r="L61" s="47" t="s">
        <v>177</v>
      </c>
      <c r="M61" s="47" t="s">
        <v>178</v>
      </c>
      <c r="N61" s="47" t="s">
        <v>107</v>
      </c>
      <c r="O61" s="47" t="s">
        <v>143</v>
      </c>
      <c r="P61" s="48">
        <v>-27050</v>
      </c>
      <c r="Q61" s="48">
        <v>349.53</v>
      </c>
      <c r="R61" s="48">
        <v>1</v>
      </c>
      <c r="S61" s="48">
        <v>-9454786.5</v>
      </c>
      <c r="T61" s="48">
        <v>-9454786.5</v>
      </c>
      <c r="U61" s="48">
        <v>354.2</v>
      </c>
      <c r="V61" s="48">
        <v>126323.50000000044</v>
      </c>
      <c r="W61" s="48">
        <v>126323.50000000044</v>
      </c>
      <c r="X61" s="48">
        <v>-9454786.5</v>
      </c>
      <c r="Y61" s="48">
        <v>616409344.72084987</v>
      </c>
      <c r="Z61" s="48">
        <v>366476196.9849546</v>
      </c>
      <c r="AA61" s="47" t="s">
        <v>130</v>
      </c>
      <c r="AB61" s="47" t="s">
        <v>117</v>
      </c>
      <c r="AC61" s="47" t="s">
        <v>103</v>
      </c>
      <c r="AD61" s="48" t="s">
        <v>103</v>
      </c>
      <c r="AE61" s="47" t="s">
        <v>103</v>
      </c>
      <c r="AF61" s="47" t="s">
        <v>103</v>
      </c>
      <c r="AG61" s="47" t="s">
        <v>103</v>
      </c>
      <c r="AT61" s="5"/>
    </row>
    <row r="62" spans="1:46">
      <c r="A62" s="46">
        <v>45503</v>
      </c>
      <c r="B62" s="47" t="s">
        <v>289</v>
      </c>
      <c r="C62" s="47" t="s">
        <v>99</v>
      </c>
      <c r="D62" s="47" t="s">
        <v>100</v>
      </c>
      <c r="E62" s="47" t="s">
        <v>179</v>
      </c>
      <c r="F62" s="47" t="s">
        <v>102</v>
      </c>
      <c r="G62" s="47" t="s">
        <v>103</v>
      </c>
      <c r="H62" s="47" t="s">
        <v>113</v>
      </c>
      <c r="I62" s="47" t="s">
        <v>103</v>
      </c>
      <c r="J62" s="47" t="s">
        <v>105</v>
      </c>
      <c r="K62" s="47" t="s">
        <v>33</v>
      </c>
      <c r="L62" s="47" t="s">
        <v>180</v>
      </c>
      <c r="M62" s="47" t="s">
        <v>180</v>
      </c>
      <c r="N62" s="47" t="s">
        <v>107</v>
      </c>
      <c r="O62" s="47" t="s">
        <v>115</v>
      </c>
      <c r="P62" s="48">
        <v>22402</v>
      </c>
      <c r="Q62" s="48">
        <v>220.1</v>
      </c>
      <c r="R62" s="48">
        <v>0.92</v>
      </c>
      <c r="S62" s="48">
        <v>4930680.2</v>
      </c>
      <c r="T62" s="48">
        <v>4536225.784</v>
      </c>
      <c r="U62" s="48">
        <v>488.1</v>
      </c>
      <c r="V62" s="48">
        <v>-6003736</v>
      </c>
      <c r="W62" s="48">
        <v>-5523437.1200000001</v>
      </c>
      <c r="X62" s="48">
        <v>4536225.784</v>
      </c>
      <c r="Y62" s="48">
        <v>567096597.14318192</v>
      </c>
      <c r="Z62" s="48">
        <v>366476196.9849546</v>
      </c>
      <c r="AA62" s="47" t="s">
        <v>116</v>
      </c>
      <c r="AB62" s="47" t="s">
        <v>117</v>
      </c>
      <c r="AC62" s="47" t="s">
        <v>103</v>
      </c>
      <c r="AD62" s="48" t="s">
        <v>103</v>
      </c>
      <c r="AE62" s="47" t="s">
        <v>103</v>
      </c>
      <c r="AF62" s="47" t="s">
        <v>103</v>
      </c>
      <c r="AG62" s="47" t="s">
        <v>103</v>
      </c>
      <c r="AT62" s="5"/>
    </row>
    <row r="63" spans="1:46">
      <c r="A63" s="46">
        <v>45503</v>
      </c>
      <c r="B63" s="47" t="s">
        <v>289</v>
      </c>
      <c r="C63" s="47" t="s">
        <v>99</v>
      </c>
      <c r="D63" s="47" t="s">
        <v>100</v>
      </c>
      <c r="E63" s="47" t="s">
        <v>181</v>
      </c>
      <c r="F63" s="47" t="s">
        <v>102</v>
      </c>
      <c r="G63" s="47" t="s">
        <v>103</v>
      </c>
      <c r="H63" s="47" t="s">
        <v>169</v>
      </c>
      <c r="I63" s="47" t="s">
        <v>103</v>
      </c>
      <c r="J63" s="47" t="s">
        <v>105</v>
      </c>
      <c r="K63" s="47" t="s">
        <v>33</v>
      </c>
      <c r="L63" s="47" t="s">
        <v>182</v>
      </c>
      <c r="M63" s="47" t="s">
        <v>182</v>
      </c>
      <c r="N63" s="47" t="s">
        <v>107</v>
      </c>
      <c r="O63" s="47" t="s">
        <v>153</v>
      </c>
      <c r="P63" s="48">
        <v>24583.200000000001</v>
      </c>
      <c r="Q63" s="48">
        <v>234.04</v>
      </c>
      <c r="R63" s="48">
        <v>1.1499999999999999</v>
      </c>
      <c r="S63" s="48">
        <v>5753452.1279999996</v>
      </c>
      <c r="T63" s="48">
        <v>6616469.9471999994</v>
      </c>
      <c r="U63" s="48">
        <v>240.09</v>
      </c>
      <c r="V63" s="48">
        <v>-148728.36000000028</v>
      </c>
      <c r="W63" s="48">
        <v>-171037.61400000029</v>
      </c>
      <c r="X63" s="48">
        <v>6616469.9471999994</v>
      </c>
      <c r="Y63" s="48">
        <v>708870746.42897725</v>
      </c>
      <c r="Z63" s="48">
        <v>366476196.9849546</v>
      </c>
      <c r="AA63" s="47" t="s">
        <v>130</v>
      </c>
      <c r="AB63" s="47" t="s">
        <v>117</v>
      </c>
      <c r="AC63" s="47" t="s">
        <v>103</v>
      </c>
      <c r="AD63" s="48" t="s">
        <v>103</v>
      </c>
      <c r="AE63" s="47" t="s">
        <v>103</v>
      </c>
      <c r="AF63" s="47" t="s">
        <v>103</v>
      </c>
      <c r="AG63" s="47" t="s">
        <v>103</v>
      </c>
      <c r="AT63" s="5"/>
    </row>
    <row r="64" spans="1:46">
      <c r="A64" s="46">
        <v>45503</v>
      </c>
      <c r="B64" s="47" t="s">
        <v>289</v>
      </c>
      <c r="C64" s="47" t="s">
        <v>99</v>
      </c>
      <c r="D64" s="47" t="s">
        <v>100</v>
      </c>
      <c r="E64" s="47" t="s">
        <v>183</v>
      </c>
      <c r="F64" s="47" t="s">
        <v>102</v>
      </c>
      <c r="G64" s="47" t="s">
        <v>157</v>
      </c>
      <c r="H64" s="47" t="s">
        <v>113</v>
      </c>
      <c r="I64" s="47">
        <v>45565</v>
      </c>
      <c r="J64" s="47" t="s">
        <v>147</v>
      </c>
      <c r="K64" s="47" t="s">
        <v>41</v>
      </c>
      <c r="L64" s="47" t="s">
        <v>28</v>
      </c>
      <c r="M64" s="47" t="s">
        <v>28</v>
      </c>
      <c r="N64" s="47" t="s">
        <v>103</v>
      </c>
      <c r="O64" s="47" t="s">
        <v>115</v>
      </c>
      <c r="P64" s="48">
        <v>8000.75</v>
      </c>
      <c r="Q64" s="48">
        <v>59.23</v>
      </c>
      <c r="R64" s="48">
        <v>0.92</v>
      </c>
      <c r="S64" s="48">
        <v>473884.42249999999</v>
      </c>
      <c r="T64" s="48">
        <v>435973.66869999998</v>
      </c>
      <c r="U64" s="48">
        <v>55.23</v>
      </c>
      <c r="V64" s="48">
        <v>32003</v>
      </c>
      <c r="W64" s="48">
        <v>29442.760000000002</v>
      </c>
      <c r="X64" s="48">
        <v>435973.66869999998</v>
      </c>
      <c r="Y64" s="48">
        <v>567096597.14318192</v>
      </c>
      <c r="Z64" s="48">
        <v>366476196.9849546</v>
      </c>
      <c r="AA64" s="47" t="s">
        <v>130</v>
      </c>
      <c r="AB64" s="47" t="s">
        <v>117</v>
      </c>
      <c r="AC64" s="47"/>
      <c r="AD64" s="48" t="s">
        <v>103</v>
      </c>
      <c r="AE64" s="47" t="s">
        <v>184</v>
      </c>
      <c r="AF64" s="47" t="s">
        <v>174</v>
      </c>
      <c r="AG64" s="47" t="s">
        <v>175</v>
      </c>
      <c r="AT64" s="5"/>
    </row>
    <row r="65" spans="1:46">
      <c r="A65" s="46">
        <v>45503</v>
      </c>
      <c r="B65" s="47" t="s">
        <v>289</v>
      </c>
      <c r="C65" s="47" t="s">
        <v>99</v>
      </c>
      <c r="D65" s="47" t="s">
        <v>100</v>
      </c>
      <c r="E65" s="47" t="s">
        <v>185</v>
      </c>
      <c r="F65" s="47" t="s">
        <v>102</v>
      </c>
      <c r="G65" s="47" t="s">
        <v>157</v>
      </c>
      <c r="H65" s="47" t="s">
        <v>186</v>
      </c>
      <c r="I65" s="47">
        <v>45596</v>
      </c>
      <c r="J65" s="47" t="s">
        <v>164</v>
      </c>
      <c r="K65" s="47" t="s">
        <v>37</v>
      </c>
      <c r="L65" s="47" t="s">
        <v>187</v>
      </c>
      <c r="M65" s="47" t="s">
        <v>187</v>
      </c>
      <c r="N65" s="47" t="s">
        <v>103</v>
      </c>
      <c r="O65" s="47" t="s">
        <v>188</v>
      </c>
      <c r="P65" s="48">
        <v>2351023.4</v>
      </c>
      <c r="Q65" s="48">
        <v>4.2</v>
      </c>
      <c r="R65" s="48">
        <v>1.18</v>
      </c>
      <c r="S65" s="48">
        <v>9874298.2799999993</v>
      </c>
      <c r="T65" s="48">
        <v>11651671.970399998</v>
      </c>
      <c r="U65" s="48">
        <v>3.7</v>
      </c>
      <c r="V65" s="48">
        <v>1175511.7</v>
      </c>
      <c r="W65" s="48">
        <v>1387103.8059999999</v>
      </c>
      <c r="X65" s="48">
        <v>11651671.970399998</v>
      </c>
      <c r="Y65" s="48">
        <v>727363026.77060282</v>
      </c>
      <c r="Z65" s="48">
        <v>366476196.9849546</v>
      </c>
      <c r="AA65" s="47" t="s">
        <v>109</v>
      </c>
      <c r="AB65" s="47" t="s">
        <v>110</v>
      </c>
      <c r="AC65" s="47" t="s">
        <v>103</v>
      </c>
      <c r="AD65" s="48" t="s">
        <v>103</v>
      </c>
      <c r="AE65" s="47" t="s">
        <v>189</v>
      </c>
      <c r="AF65" s="47" t="s">
        <v>174</v>
      </c>
      <c r="AG65" s="47" t="s">
        <v>175</v>
      </c>
      <c r="AT65" s="5"/>
    </row>
    <row r="66" spans="1:46">
      <c r="A66" s="46">
        <v>45503</v>
      </c>
      <c r="B66" s="47" t="s">
        <v>289</v>
      </c>
      <c r="C66" s="47" t="s">
        <v>99</v>
      </c>
      <c r="D66" s="47" t="s">
        <v>100</v>
      </c>
      <c r="E66" s="47" t="s">
        <v>190</v>
      </c>
      <c r="F66" s="47" t="s">
        <v>102</v>
      </c>
      <c r="G66" s="47" t="s">
        <v>191</v>
      </c>
      <c r="H66" s="47" t="s">
        <v>100</v>
      </c>
      <c r="I66" s="47">
        <v>45596</v>
      </c>
      <c r="J66" s="47" t="s">
        <v>192</v>
      </c>
      <c r="K66" s="47" t="s">
        <v>193</v>
      </c>
      <c r="L66" s="47" t="s">
        <v>194</v>
      </c>
      <c r="M66" s="47" t="s">
        <v>194</v>
      </c>
      <c r="N66" s="47" t="s">
        <v>103</v>
      </c>
      <c r="O66" s="47" t="s">
        <v>153</v>
      </c>
      <c r="P66" s="48">
        <v>1000</v>
      </c>
      <c r="Q66" s="48">
        <v>78.900000000000006</v>
      </c>
      <c r="R66" s="48">
        <v>1</v>
      </c>
      <c r="S66" s="48">
        <v>-99.999999999994316</v>
      </c>
      <c r="T66" s="48">
        <v>-99.999999999994316</v>
      </c>
      <c r="U66" s="48">
        <v>79</v>
      </c>
      <c r="V66" s="48">
        <v>-99.999999999994316</v>
      </c>
      <c r="W66" s="48">
        <v>-99.999999999994316</v>
      </c>
      <c r="X66" s="48">
        <v>78900</v>
      </c>
      <c r="Y66" s="48">
        <v>616409344.72084987</v>
      </c>
      <c r="Z66" s="48">
        <v>366476196.9849546</v>
      </c>
      <c r="AA66" s="47" t="s">
        <v>130</v>
      </c>
      <c r="AB66" s="47" t="s">
        <v>117</v>
      </c>
      <c r="AC66" s="47" t="s">
        <v>103</v>
      </c>
      <c r="AD66" s="48" t="s">
        <v>103</v>
      </c>
      <c r="AE66" s="47" t="s">
        <v>103</v>
      </c>
      <c r="AF66" s="47" t="s">
        <v>103</v>
      </c>
      <c r="AG66" s="47" t="s">
        <v>103</v>
      </c>
      <c r="AT66" s="5"/>
    </row>
    <row r="67" spans="1:46">
      <c r="A67" s="46">
        <v>45503</v>
      </c>
      <c r="B67" s="47" t="s">
        <v>289</v>
      </c>
      <c r="C67" s="47" t="s">
        <v>99</v>
      </c>
      <c r="D67" s="47" t="s">
        <v>100</v>
      </c>
      <c r="E67" s="47" t="s">
        <v>195</v>
      </c>
      <c r="F67" s="47" t="s">
        <v>102</v>
      </c>
      <c r="G67" s="47" t="s">
        <v>103</v>
      </c>
      <c r="H67" s="47" t="s">
        <v>100</v>
      </c>
      <c r="I67" s="47" t="s">
        <v>103</v>
      </c>
      <c r="J67" s="47" t="s">
        <v>105</v>
      </c>
      <c r="K67" s="47" t="s">
        <v>34</v>
      </c>
      <c r="L67" s="47" t="s">
        <v>196</v>
      </c>
      <c r="M67" s="47" t="s">
        <v>196</v>
      </c>
      <c r="N67" s="47" t="s">
        <v>107</v>
      </c>
      <c r="O67" s="47" t="s">
        <v>129</v>
      </c>
      <c r="P67" s="48">
        <v>248074.75</v>
      </c>
      <c r="Q67" s="48">
        <v>342.42</v>
      </c>
      <c r="R67" s="48">
        <v>1</v>
      </c>
      <c r="S67" s="48">
        <v>84945755.895000011</v>
      </c>
      <c r="T67" s="48">
        <v>84945755.895000011</v>
      </c>
      <c r="U67" s="48">
        <v>330.92</v>
      </c>
      <c r="V67" s="48">
        <v>2852859.625</v>
      </c>
      <c r="W67" s="48">
        <v>2852859.625</v>
      </c>
      <c r="X67" s="48">
        <v>84945755.895000011</v>
      </c>
      <c r="Y67" s="48">
        <v>616409344.72084987</v>
      </c>
      <c r="Z67" s="48">
        <v>366476196.9849546</v>
      </c>
      <c r="AA67" s="47" t="s">
        <v>130</v>
      </c>
      <c r="AB67" s="47" t="s">
        <v>117</v>
      </c>
      <c r="AC67" s="47" t="s">
        <v>103</v>
      </c>
      <c r="AD67" s="48" t="s">
        <v>103</v>
      </c>
      <c r="AE67" s="47" t="s">
        <v>197</v>
      </c>
      <c r="AF67" s="47" t="s">
        <v>105</v>
      </c>
      <c r="AG67" s="47" t="s">
        <v>33</v>
      </c>
      <c r="AT67" s="5"/>
    </row>
    <row r="68" spans="1:46">
      <c r="A68" s="46">
        <v>45503</v>
      </c>
      <c r="B68" s="47" t="s">
        <v>289</v>
      </c>
      <c r="C68" s="47" t="s">
        <v>99</v>
      </c>
      <c r="D68" s="47" t="s">
        <v>100</v>
      </c>
      <c r="E68" s="47" t="s">
        <v>198</v>
      </c>
      <c r="F68" s="47" t="s">
        <v>102</v>
      </c>
      <c r="G68" s="47" t="s">
        <v>103</v>
      </c>
      <c r="H68" s="47" t="s">
        <v>169</v>
      </c>
      <c r="I68" s="47" t="s">
        <v>103</v>
      </c>
      <c r="J68" s="47" t="s">
        <v>105</v>
      </c>
      <c r="K68" s="47" t="s">
        <v>34</v>
      </c>
      <c r="L68" s="47" t="s">
        <v>199</v>
      </c>
      <c r="M68" s="47" t="s">
        <v>199</v>
      </c>
      <c r="N68" s="47" t="s">
        <v>107</v>
      </c>
      <c r="O68" s="47" t="s">
        <v>153</v>
      </c>
      <c r="P68" s="48">
        <v>327052.25</v>
      </c>
      <c r="Q68" s="48">
        <v>285.26</v>
      </c>
      <c r="R68" s="48">
        <v>1.1499999999999999</v>
      </c>
      <c r="S68" s="48">
        <v>93294924.834999993</v>
      </c>
      <c r="T68" s="48">
        <v>107289163.56024998</v>
      </c>
      <c r="U68" s="48">
        <v>279.98</v>
      </c>
      <c r="V68" s="48">
        <v>1726835.879999991</v>
      </c>
      <c r="W68" s="48">
        <v>1985861.2619999896</v>
      </c>
      <c r="X68" s="48">
        <v>107289163.56025</v>
      </c>
      <c r="Y68" s="48">
        <v>708870746.42897725</v>
      </c>
      <c r="Z68" s="48">
        <v>366476196.9849546</v>
      </c>
      <c r="AA68" s="47" t="s">
        <v>130</v>
      </c>
      <c r="AB68" s="47" t="s">
        <v>117</v>
      </c>
      <c r="AC68" s="47" t="s">
        <v>103</v>
      </c>
      <c r="AD68" s="48" t="s">
        <v>103</v>
      </c>
      <c r="AE68" s="47" t="s">
        <v>200</v>
      </c>
      <c r="AF68" s="47" t="s">
        <v>105</v>
      </c>
      <c r="AG68" s="47" t="s">
        <v>33</v>
      </c>
      <c r="AT68" s="5"/>
    </row>
    <row r="69" spans="1:46">
      <c r="A69" s="46">
        <v>45503</v>
      </c>
      <c r="B69" s="47" t="s">
        <v>289</v>
      </c>
      <c r="C69" s="47" t="s">
        <v>99</v>
      </c>
      <c r="D69" s="47" t="s">
        <v>100</v>
      </c>
      <c r="E69" s="47" t="s">
        <v>201</v>
      </c>
      <c r="F69" s="47" t="s">
        <v>102</v>
      </c>
      <c r="G69" s="47" t="s">
        <v>202</v>
      </c>
      <c r="H69" s="47" t="s">
        <v>203</v>
      </c>
      <c r="I69" s="47">
        <v>45596</v>
      </c>
      <c r="J69" s="47" t="s">
        <v>147</v>
      </c>
      <c r="K69" s="47" t="s">
        <v>37</v>
      </c>
      <c r="L69" s="47" t="s">
        <v>28</v>
      </c>
      <c r="M69" s="47" t="s">
        <v>28</v>
      </c>
      <c r="N69" s="47" t="s">
        <v>103</v>
      </c>
      <c r="O69" s="47" t="s">
        <v>204</v>
      </c>
      <c r="P69" s="48">
        <v>302790.25</v>
      </c>
      <c r="Q69" s="48">
        <v>0.99</v>
      </c>
      <c r="R69" s="48">
        <v>0.13</v>
      </c>
      <c r="S69" s="48">
        <v>299762.34749999997</v>
      </c>
      <c r="T69" s="48">
        <v>38969.105174999997</v>
      </c>
      <c r="U69" s="48">
        <v>1.04</v>
      </c>
      <c r="V69" s="48">
        <v>-15139.512500000013</v>
      </c>
      <c r="W69" s="48">
        <v>-1968.1366250000019</v>
      </c>
      <c r="X69" s="48">
        <v>38969.105175000004</v>
      </c>
      <c r="Y69" s="48">
        <v>80133214.813710481</v>
      </c>
      <c r="Z69" s="48">
        <v>366476196.9849546</v>
      </c>
      <c r="AA69" s="47" t="s">
        <v>109</v>
      </c>
      <c r="AB69" s="47" t="s">
        <v>110</v>
      </c>
      <c r="AC69" s="47" t="s">
        <v>103</v>
      </c>
      <c r="AD69" s="48" t="s">
        <v>103</v>
      </c>
      <c r="AE69" s="47" t="s">
        <v>205</v>
      </c>
      <c r="AF69" s="47" t="s">
        <v>105</v>
      </c>
      <c r="AG69" s="47" t="s">
        <v>33</v>
      </c>
      <c r="AT69" s="5"/>
    </row>
    <row r="70" spans="1:46">
      <c r="A70" s="46">
        <v>45503</v>
      </c>
      <c r="B70" s="47" t="s">
        <v>289</v>
      </c>
      <c r="C70" s="47" t="s">
        <v>99</v>
      </c>
      <c r="D70" s="47" t="s">
        <v>100</v>
      </c>
      <c r="E70" s="47" t="s">
        <v>206</v>
      </c>
      <c r="F70" s="47" t="s">
        <v>102</v>
      </c>
      <c r="G70" s="47" t="s">
        <v>103</v>
      </c>
      <c r="H70" s="47" t="s">
        <v>113</v>
      </c>
      <c r="I70" s="47">
        <v>52748</v>
      </c>
      <c r="J70" s="47" t="s">
        <v>125</v>
      </c>
      <c r="K70" s="47" t="s">
        <v>132</v>
      </c>
      <c r="L70" s="47" t="s">
        <v>133</v>
      </c>
      <c r="M70" s="47" t="s">
        <v>134</v>
      </c>
      <c r="N70" s="47" t="s">
        <v>135</v>
      </c>
      <c r="O70" s="47" t="s">
        <v>115</v>
      </c>
      <c r="P70" s="48">
        <v>211078</v>
      </c>
      <c r="Q70" s="48">
        <v>97.88</v>
      </c>
      <c r="R70" s="48">
        <v>0.92</v>
      </c>
      <c r="S70" s="48">
        <v>20660314.640000001</v>
      </c>
      <c r="T70" s="48">
        <v>19007489.468800001</v>
      </c>
      <c r="U70" s="48">
        <v>199.87</v>
      </c>
      <c r="V70" s="48">
        <v>-21527845.220000003</v>
      </c>
      <c r="W70" s="48">
        <v>-19805617.602400005</v>
      </c>
      <c r="X70" s="48">
        <v>19007489.468800001</v>
      </c>
      <c r="Y70" s="48">
        <v>567096597.14318192</v>
      </c>
      <c r="Z70" s="48">
        <v>366476196.9849546</v>
      </c>
      <c r="AA70" s="47" t="s">
        <v>116</v>
      </c>
      <c r="AB70" s="47" t="s">
        <v>117</v>
      </c>
      <c r="AC70" s="47">
        <v>4.3999999999999997E-2</v>
      </c>
      <c r="AD70" s="48">
        <v>6830400</v>
      </c>
      <c r="AE70" s="47" t="s">
        <v>103</v>
      </c>
      <c r="AF70" s="47" t="s">
        <v>103</v>
      </c>
      <c r="AG70" s="47" t="s">
        <v>103</v>
      </c>
      <c r="AT70" s="5"/>
    </row>
    <row r="71" spans="1:46">
      <c r="A71" s="46">
        <v>45503</v>
      </c>
      <c r="B71" s="47" t="s">
        <v>289</v>
      </c>
      <c r="C71" s="47" t="s">
        <v>99</v>
      </c>
      <c r="D71" s="47" t="s">
        <v>100</v>
      </c>
      <c r="E71" s="47" t="s">
        <v>207</v>
      </c>
      <c r="F71" s="47" t="s">
        <v>102</v>
      </c>
      <c r="G71" s="47" t="s">
        <v>103</v>
      </c>
      <c r="H71" s="47" t="s">
        <v>100</v>
      </c>
      <c r="I71" s="47">
        <v>45831</v>
      </c>
      <c r="J71" s="47" t="s">
        <v>105</v>
      </c>
      <c r="K71" s="47" t="s">
        <v>35</v>
      </c>
      <c r="L71" s="47" t="s">
        <v>208</v>
      </c>
      <c r="M71" s="47" t="s">
        <v>209</v>
      </c>
      <c r="N71" s="47" t="s">
        <v>107</v>
      </c>
      <c r="O71" s="47" t="s">
        <v>210</v>
      </c>
      <c r="P71" s="48">
        <v>31762298.5</v>
      </c>
      <c r="Q71" s="48">
        <v>5.6000000000000001E-2</v>
      </c>
      <c r="R71" s="48">
        <v>1</v>
      </c>
      <c r="S71" s="48">
        <v>1778688.716</v>
      </c>
      <c r="T71" s="48">
        <v>1778688.716</v>
      </c>
      <c r="U71" s="48">
        <v>5.1999999999999998E-2</v>
      </c>
      <c r="V71" s="48">
        <v>127049.19400000012</v>
      </c>
      <c r="W71" s="48">
        <v>127049.19400000012</v>
      </c>
      <c r="X71" s="48">
        <v>1778688.716</v>
      </c>
      <c r="Y71" s="48">
        <v>616409344.72084987</v>
      </c>
      <c r="Z71" s="48">
        <v>366476196.9849546</v>
      </c>
      <c r="AA71" s="47" t="s">
        <v>130</v>
      </c>
      <c r="AB71" s="47" t="s">
        <v>117</v>
      </c>
      <c r="AC71" s="47" t="s">
        <v>103</v>
      </c>
      <c r="AD71" s="48" t="s">
        <v>103</v>
      </c>
      <c r="AE71" s="47" t="s">
        <v>211</v>
      </c>
      <c r="AF71" s="47" t="s">
        <v>105</v>
      </c>
      <c r="AG71" s="47" t="s">
        <v>33</v>
      </c>
      <c r="AT71" s="5"/>
    </row>
    <row r="72" spans="1:46">
      <c r="A72" s="46">
        <v>45503</v>
      </c>
      <c r="B72" s="47" t="s">
        <v>289</v>
      </c>
      <c r="C72" s="47" t="s">
        <v>99</v>
      </c>
      <c r="D72" s="47" t="s">
        <v>100</v>
      </c>
      <c r="E72" s="47" t="s">
        <v>212</v>
      </c>
      <c r="F72" s="47" t="s">
        <v>102</v>
      </c>
      <c r="G72" s="47" t="s">
        <v>103</v>
      </c>
      <c r="H72" s="47" t="s">
        <v>100</v>
      </c>
      <c r="I72" s="47">
        <v>46105</v>
      </c>
      <c r="J72" s="47" t="s">
        <v>105</v>
      </c>
      <c r="K72" s="47" t="s">
        <v>35</v>
      </c>
      <c r="L72" s="47" t="s">
        <v>213</v>
      </c>
      <c r="M72" s="47" t="s">
        <v>214</v>
      </c>
      <c r="N72" s="47" t="s">
        <v>107</v>
      </c>
      <c r="O72" s="47" t="s">
        <v>210</v>
      </c>
      <c r="P72" s="48">
        <v>13236155.5</v>
      </c>
      <c r="Q72" s="48">
        <v>0.06</v>
      </c>
      <c r="R72" s="48">
        <v>1</v>
      </c>
      <c r="S72" s="48">
        <v>794169.33</v>
      </c>
      <c r="T72" s="48">
        <v>794169.33</v>
      </c>
      <c r="U72" s="48">
        <v>5.5E-2</v>
      </c>
      <c r="V72" s="48">
        <v>66180.777499999967</v>
      </c>
      <c r="W72" s="48">
        <v>66180.777499999967</v>
      </c>
      <c r="X72" s="48">
        <v>794169.33</v>
      </c>
      <c r="Y72" s="48">
        <v>616409344.72084987</v>
      </c>
      <c r="Z72" s="48">
        <v>366476196.9849546</v>
      </c>
      <c r="AA72" s="47" t="s">
        <v>130</v>
      </c>
      <c r="AB72" s="47" t="s">
        <v>117</v>
      </c>
      <c r="AC72" s="47" t="s">
        <v>103</v>
      </c>
      <c r="AD72" s="48" t="s">
        <v>103</v>
      </c>
      <c r="AE72" s="47" t="s">
        <v>215</v>
      </c>
      <c r="AF72" s="47" t="s">
        <v>105</v>
      </c>
      <c r="AG72" s="47" t="s">
        <v>33</v>
      </c>
      <c r="AT72" s="5"/>
    </row>
    <row r="73" spans="1:46">
      <c r="A73" s="46">
        <v>45503</v>
      </c>
      <c r="B73" s="47" t="s">
        <v>289</v>
      </c>
      <c r="C73" s="47" t="s">
        <v>99</v>
      </c>
      <c r="D73" s="47" t="s">
        <v>100</v>
      </c>
      <c r="E73" s="47" t="s">
        <v>288</v>
      </c>
      <c r="F73" s="47" t="s">
        <v>102</v>
      </c>
      <c r="G73" s="47" t="s">
        <v>103</v>
      </c>
      <c r="H73" s="47" t="s">
        <v>113</v>
      </c>
      <c r="I73" s="47" t="s">
        <v>103</v>
      </c>
      <c r="J73" s="47" t="s">
        <v>105</v>
      </c>
      <c r="K73" s="47" t="s">
        <v>33</v>
      </c>
      <c r="L73" s="47" t="s">
        <v>216</v>
      </c>
      <c r="M73" s="47" t="s">
        <v>216</v>
      </c>
      <c r="N73" s="47" t="s">
        <v>107</v>
      </c>
      <c r="O73" s="47" t="s">
        <v>115</v>
      </c>
      <c r="P73" s="48">
        <v>17012</v>
      </c>
      <c r="Q73" s="48">
        <v>123.3</v>
      </c>
      <c r="R73" s="48">
        <v>0.92</v>
      </c>
      <c r="S73" s="48">
        <v>2097579.6</v>
      </c>
      <c r="T73" s="48">
        <v>1929773.2320000001</v>
      </c>
      <c r="U73" s="48">
        <v>589.02</v>
      </c>
      <c r="V73" s="48">
        <v>-7922828.6399999997</v>
      </c>
      <c r="W73" s="48">
        <v>-7289002.3487999998</v>
      </c>
      <c r="X73" s="48">
        <v>1929773.2320000001</v>
      </c>
      <c r="Y73" s="48">
        <v>567096597.14318192</v>
      </c>
      <c r="Z73" s="48">
        <v>366476196.9849546</v>
      </c>
      <c r="AA73" s="47" t="s">
        <v>116</v>
      </c>
      <c r="AB73" s="47" t="s">
        <v>117</v>
      </c>
      <c r="AC73" s="47" t="s">
        <v>103</v>
      </c>
      <c r="AD73" s="48" t="s">
        <v>103</v>
      </c>
      <c r="AE73" s="47" t="s">
        <v>103</v>
      </c>
      <c r="AF73" s="47" t="s">
        <v>103</v>
      </c>
      <c r="AG73" s="47" t="s">
        <v>103</v>
      </c>
      <c r="AT73" s="5"/>
    </row>
    <row r="74" spans="1:46">
      <c r="A74" s="46">
        <v>45503</v>
      </c>
      <c r="B74" s="47" t="s">
        <v>289</v>
      </c>
      <c r="C74" s="47" t="s">
        <v>99</v>
      </c>
      <c r="D74" s="47" t="s">
        <v>100</v>
      </c>
      <c r="E74" s="47" t="s">
        <v>217</v>
      </c>
      <c r="F74" s="47" t="s">
        <v>102</v>
      </c>
      <c r="G74" s="47" t="s">
        <v>163</v>
      </c>
      <c r="H74" s="47" t="s">
        <v>100</v>
      </c>
      <c r="I74" s="47">
        <v>50678</v>
      </c>
      <c r="J74" s="47" t="s">
        <v>125</v>
      </c>
      <c r="K74" s="47" t="s">
        <v>218</v>
      </c>
      <c r="L74" s="47" t="s">
        <v>219</v>
      </c>
      <c r="M74" s="47" t="s">
        <v>220</v>
      </c>
      <c r="N74" s="47" t="s">
        <v>107</v>
      </c>
      <c r="O74" s="47" t="s">
        <v>210</v>
      </c>
      <c r="P74" s="48">
        <v>1796136.5</v>
      </c>
      <c r="Q74" s="48">
        <v>100.4</v>
      </c>
      <c r="R74" s="48">
        <v>1</v>
      </c>
      <c r="S74" s="48">
        <v>1803321.0460000003</v>
      </c>
      <c r="T74" s="48">
        <v>1803321.0460000003</v>
      </c>
      <c r="U74" s="48">
        <v>100</v>
      </c>
      <c r="V74" s="48">
        <v>718454.60000001022</v>
      </c>
      <c r="W74" s="48">
        <v>718454.60000001022</v>
      </c>
      <c r="X74" s="48">
        <v>180332104.60000002</v>
      </c>
      <c r="Y74" s="48">
        <v>616409344.72084987</v>
      </c>
      <c r="Z74" s="48">
        <v>366476196.9849546</v>
      </c>
      <c r="AA74" s="47" t="s">
        <v>116</v>
      </c>
      <c r="AB74" s="47" t="s">
        <v>110</v>
      </c>
      <c r="AC74" s="47">
        <v>5.2999999999999999E-2</v>
      </c>
      <c r="AD74" s="48" t="s">
        <v>103</v>
      </c>
      <c r="AE74" s="47" t="s">
        <v>103</v>
      </c>
      <c r="AF74" s="47" t="s">
        <v>103</v>
      </c>
      <c r="AG74" s="47" t="s">
        <v>103</v>
      </c>
      <c r="AT74" s="5"/>
    </row>
    <row r="75" spans="1:46">
      <c r="A75" s="46">
        <v>45503</v>
      </c>
      <c r="B75" s="47" t="s">
        <v>289</v>
      </c>
      <c r="C75" s="47" t="s">
        <v>99</v>
      </c>
      <c r="D75" s="47" t="s">
        <v>100</v>
      </c>
      <c r="E75" s="47" t="s">
        <v>221</v>
      </c>
      <c r="F75" s="47" t="s">
        <v>102</v>
      </c>
      <c r="G75" s="47" t="s">
        <v>191</v>
      </c>
      <c r="H75" s="47" t="s">
        <v>100</v>
      </c>
      <c r="I75" s="47">
        <v>46721</v>
      </c>
      <c r="J75" s="47" t="s">
        <v>125</v>
      </c>
      <c r="K75" s="47" t="s">
        <v>218</v>
      </c>
      <c r="L75" s="47" t="s">
        <v>222</v>
      </c>
      <c r="M75" s="47" t="s">
        <v>223</v>
      </c>
      <c r="N75" s="47" t="s">
        <v>107</v>
      </c>
      <c r="O75" s="47" t="s">
        <v>224</v>
      </c>
      <c r="P75" s="48">
        <v>1595523.75</v>
      </c>
      <c r="Q75" s="48">
        <v>99.3</v>
      </c>
      <c r="R75" s="48">
        <v>1</v>
      </c>
      <c r="S75" s="48">
        <v>1584355.08375</v>
      </c>
      <c r="T75" s="48">
        <v>1584355.08375</v>
      </c>
      <c r="U75" s="48">
        <v>100</v>
      </c>
      <c r="V75" s="48">
        <v>-1116866.6250000044</v>
      </c>
      <c r="W75" s="48">
        <v>-1116866.6250000044</v>
      </c>
      <c r="X75" s="48">
        <v>158435508.375</v>
      </c>
      <c r="Y75" s="48">
        <v>616409344.72084987</v>
      </c>
      <c r="Z75" s="48">
        <v>366476196.9849546</v>
      </c>
      <c r="AA75" s="47" t="s">
        <v>109</v>
      </c>
      <c r="AB75" s="47" t="s">
        <v>117</v>
      </c>
      <c r="AC75" s="47">
        <v>4.5999999999999999E-2</v>
      </c>
      <c r="AD75" s="48" t="s">
        <v>103</v>
      </c>
      <c r="AE75" s="47" t="s">
        <v>103</v>
      </c>
      <c r="AF75" s="47" t="s">
        <v>103</v>
      </c>
      <c r="AG75" s="47" t="s">
        <v>103</v>
      </c>
      <c r="AT75" s="5"/>
    </row>
    <row r="76" spans="1:46">
      <c r="A76" s="46">
        <v>45503</v>
      </c>
      <c r="B76" s="47" t="s">
        <v>289</v>
      </c>
      <c r="C76" s="47" t="s">
        <v>99</v>
      </c>
      <c r="D76" s="47" t="s">
        <v>100</v>
      </c>
      <c r="E76" s="47" t="s">
        <v>225</v>
      </c>
      <c r="F76" s="47" t="s">
        <v>102</v>
      </c>
      <c r="G76" s="47" t="s">
        <v>103</v>
      </c>
      <c r="H76" s="47" t="s">
        <v>186</v>
      </c>
      <c r="I76" s="47">
        <v>49125</v>
      </c>
      <c r="J76" s="47" t="s">
        <v>125</v>
      </c>
      <c r="K76" s="47" t="s">
        <v>126</v>
      </c>
      <c r="L76" s="47" t="s">
        <v>226</v>
      </c>
      <c r="M76" s="47" t="s">
        <v>128</v>
      </c>
      <c r="N76" s="47" t="s">
        <v>107</v>
      </c>
      <c r="O76" s="47" t="s">
        <v>188</v>
      </c>
      <c r="P76" s="48">
        <v>309561</v>
      </c>
      <c r="Q76" s="48">
        <v>103.5</v>
      </c>
      <c r="R76" s="48">
        <v>1.18</v>
      </c>
      <c r="S76" s="48">
        <v>32039563.5</v>
      </c>
      <c r="T76" s="48">
        <v>37806684.93</v>
      </c>
      <c r="U76" s="48">
        <v>102.8</v>
      </c>
      <c r="V76" s="48">
        <v>216692.70000000088</v>
      </c>
      <c r="W76" s="48">
        <v>255697.38600000102</v>
      </c>
      <c r="X76" s="48">
        <v>37806684.93</v>
      </c>
      <c r="Y76" s="48">
        <v>727363026.77060282</v>
      </c>
      <c r="Z76" s="48">
        <v>366476196.9849546</v>
      </c>
      <c r="AA76" s="47" t="s">
        <v>130</v>
      </c>
      <c r="AB76" s="47" t="s">
        <v>117</v>
      </c>
      <c r="AC76" s="47">
        <v>4.3999999999999997E-2</v>
      </c>
      <c r="AD76" s="48">
        <v>54195500</v>
      </c>
      <c r="AE76" s="47" t="s">
        <v>103</v>
      </c>
      <c r="AF76" s="47" t="s">
        <v>103</v>
      </c>
      <c r="AG76" s="47" t="s">
        <v>103</v>
      </c>
      <c r="AT76" s="5"/>
    </row>
    <row r="77" spans="1:46">
      <c r="A77" s="46">
        <v>45503</v>
      </c>
      <c r="B77" s="47" t="s">
        <v>289</v>
      </c>
      <c r="C77" s="47" t="s">
        <v>99</v>
      </c>
      <c r="D77" s="47" t="s">
        <v>100</v>
      </c>
      <c r="E77" s="47" t="s">
        <v>227</v>
      </c>
      <c r="F77" s="47" t="s">
        <v>112</v>
      </c>
      <c r="G77" s="47" t="s">
        <v>103</v>
      </c>
      <c r="H77" s="47" t="s">
        <v>100</v>
      </c>
      <c r="I77" s="47">
        <v>47938</v>
      </c>
      <c r="J77" s="47" t="s">
        <v>125</v>
      </c>
      <c r="K77" s="47" t="s">
        <v>126</v>
      </c>
      <c r="L77" s="47" t="s">
        <v>228</v>
      </c>
      <c r="M77" s="47" t="s">
        <v>229</v>
      </c>
      <c r="N77" s="47" t="s">
        <v>107</v>
      </c>
      <c r="O77" s="47" t="s">
        <v>224</v>
      </c>
      <c r="P77" s="48">
        <v>-172303.25</v>
      </c>
      <c r="Q77" s="48">
        <v>98.01</v>
      </c>
      <c r="R77" s="48">
        <v>1</v>
      </c>
      <c r="S77" s="48">
        <v>-16887441.532500003</v>
      </c>
      <c r="T77" s="48">
        <v>-16887441.532500003</v>
      </c>
      <c r="U77" s="48">
        <v>99.6</v>
      </c>
      <c r="V77" s="48">
        <v>273962.16749999812</v>
      </c>
      <c r="W77" s="48">
        <v>273962.16749999812</v>
      </c>
      <c r="X77" s="48">
        <v>-16887441.532500003</v>
      </c>
      <c r="Y77" s="48">
        <v>616409344.72084987</v>
      </c>
      <c r="Z77" s="48">
        <v>366476196.9849546</v>
      </c>
      <c r="AA77" s="47" t="s">
        <v>130</v>
      </c>
      <c r="AB77" s="47" t="s">
        <v>117</v>
      </c>
      <c r="AC77" s="47">
        <v>4.5999999999999999E-2</v>
      </c>
      <c r="AD77" s="48">
        <v>2777830</v>
      </c>
      <c r="AE77" s="47" t="s">
        <v>103</v>
      </c>
      <c r="AF77" s="47" t="s">
        <v>103</v>
      </c>
      <c r="AG77" s="47" t="s">
        <v>103</v>
      </c>
      <c r="AT77" s="5"/>
    </row>
    <row r="78" spans="1:46">
      <c r="A78" s="46">
        <v>45503</v>
      </c>
      <c r="B78" s="47" t="s">
        <v>289</v>
      </c>
      <c r="C78" s="47" t="s">
        <v>99</v>
      </c>
      <c r="D78" s="47" t="s">
        <v>100</v>
      </c>
      <c r="E78" s="47" t="s">
        <v>230</v>
      </c>
      <c r="F78" s="47" t="s">
        <v>102</v>
      </c>
      <c r="G78" s="47" t="s">
        <v>103</v>
      </c>
      <c r="H78" s="47" t="s">
        <v>113</v>
      </c>
      <c r="I78" s="47">
        <v>48730</v>
      </c>
      <c r="J78" s="47" t="s">
        <v>125</v>
      </c>
      <c r="K78" s="47" t="s">
        <v>126</v>
      </c>
      <c r="L78" s="47" t="s">
        <v>231</v>
      </c>
      <c r="M78" s="47" t="s">
        <v>232</v>
      </c>
      <c r="N78" s="47" t="s">
        <v>107</v>
      </c>
      <c r="O78" s="47" t="s">
        <v>115</v>
      </c>
      <c r="P78" s="48">
        <v>272634.25</v>
      </c>
      <c r="Q78" s="48">
        <v>105.06</v>
      </c>
      <c r="R78" s="48">
        <v>0.92</v>
      </c>
      <c r="S78" s="48">
        <v>28642954.305</v>
      </c>
      <c r="T78" s="48">
        <v>26351517.9606</v>
      </c>
      <c r="U78" s="48">
        <v>104.9</v>
      </c>
      <c r="V78" s="48">
        <v>43621.479999999072</v>
      </c>
      <c r="W78" s="48">
        <v>40131.761599999147</v>
      </c>
      <c r="X78" s="48">
        <v>26351517.960600004</v>
      </c>
      <c r="Y78" s="48">
        <v>567096597.14318192</v>
      </c>
      <c r="Z78" s="48">
        <v>366476196.9849546</v>
      </c>
      <c r="AA78" s="47" t="s">
        <v>116</v>
      </c>
      <c r="AB78" s="47" t="s">
        <v>117</v>
      </c>
      <c r="AC78" s="47">
        <v>4.3999999999999997E-2</v>
      </c>
      <c r="AD78" s="48">
        <v>9534500</v>
      </c>
      <c r="AE78" s="47" t="s">
        <v>103</v>
      </c>
      <c r="AF78" s="47" t="s">
        <v>103</v>
      </c>
      <c r="AG78" s="47" t="s">
        <v>103</v>
      </c>
      <c r="AT78" s="5"/>
    </row>
    <row r="79" spans="1:46">
      <c r="A79" s="46">
        <v>45503</v>
      </c>
      <c r="B79" s="47" t="s">
        <v>289</v>
      </c>
      <c r="C79" s="47" t="s">
        <v>99</v>
      </c>
      <c r="D79" s="47" t="s">
        <v>100</v>
      </c>
      <c r="E79" s="47" t="s">
        <v>233</v>
      </c>
      <c r="F79" s="47" t="s">
        <v>102</v>
      </c>
      <c r="G79" s="47" t="s">
        <v>157</v>
      </c>
      <c r="H79" s="47" t="s">
        <v>100</v>
      </c>
      <c r="I79" s="47">
        <v>45621</v>
      </c>
      <c r="J79" s="47" t="s">
        <v>147</v>
      </c>
      <c r="K79" s="47" t="s">
        <v>234</v>
      </c>
      <c r="L79" s="47" t="s">
        <v>235</v>
      </c>
      <c r="M79" s="47" t="s">
        <v>236</v>
      </c>
      <c r="N79" s="47" t="s">
        <v>103</v>
      </c>
      <c r="O79" s="47" t="s">
        <v>224</v>
      </c>
      <c r="P79" s="48">
        <v>24469</v>
      </c>
      <c r="Q79" s="48">
        <v>1.24</v>
      </c>
      <c r="R79" s="48">
        <v>1</v>
      </c>
      <c r="S79" s="48">
        <v>30341.56</v>
      </c>
      <c r="T79" s="48">
        <v>30341.56</v>
      </c>
      <c r="U79" s="48">
        <v>1.26</v>
      </c>
      <c r="V79" s="48">
        <v>-489.38000000000045</v>
      </c>
      <c r="W79" s="48">
        <v>-489.38000000000045</v>
      </c>
      <c r="X79" s="48">
        <v>30341.56</v>
      </c>
      <c r="Y79" s="48">
        <v>616409344.72084987</v>
      </c>
      <c r="Z79" s="48">
        <v>366476196.9849546</v>
      </c>
      <c r="AA79" s="47" t="s">
        <v>116</v>
      </c>
      <c r="AB79" s="47" t="s">
        <v>117</v>
      </c>
      <c r="AC79" s="47" t="s">
        <v>103</v>
      </c>
      <c r="AD79" s="48" t="s">
        <v>103</v>
      </c>
      <c r="AE79" s="47" t="s">
        <v>237</v>
      </c>
      <c r="AF79" s="47" t="s">
        <v>105</v>
      </c>
      <c r="AG79" s="47" t="s">
        <v>33</v>
      </c>
      <c r="AT79" s="5"/>
    </row>
    <row r="80" spans="1:46">
      <c r="A80" s="46">
        <v>45503</v>
      </c>
      <c r="B80" s="47" t="s">
        <v>289</v>
      </c>
      <c r="C80" s="47" t="s">
        <v>99</v>
      </c>
      <c r="D80" s="47" t="s">
        <v>100</v>
      </c>
      <c r="E80" s="47" t="s">
        <v>238</v>
      </c>
      <c r="F80" s="47" t="s">
        <v>102</v>
      </c>
      <c r="G80" s="47" t="s">
        <v>239</v>
      </c>
      <c r="H80" s="47" t="s">
        <v>113</v>
      </c>
      <c r="I80" s="47">
        <v>45621</v>
      </c>
      <c r="J80" s="47" t="s">
        <v>147</v>
      </c>
      <c r="K80" s="47" t="s">
        <v>234</v>
      </c>
      <c r="L80" s="47" t="s">
        <v>240</v>
      </c>
      <c r="M80" s="47" t="s">
        <v>240</v>
      </c>
      <c r="N80" s="47" t="s">
        <v>103</v>
      </c>
      <c r="O80" s="47" t="s">
        <v>115</v>
      </c>
      <c r="P80" s="48">
        <v>284081</v>
      </c>
      <c r="Q80" s="48">
        <v>1.1000000000000001</v>
      </c>
      <c r="R80" s="48">
        <v>0.92</v>
      </c>
      <c r="S80" s="48">
        <v>312489.10000000003</v>
      </c>
      <c r="T80" s="48">
        <v>287489.97200000007</v>
      </c>
      <c r="U80" s="48">
        <v>0.1</v>
      </c>
      <c r="V80" s="48">
        <v>284081</v>
      </c>
      <c r="W80" s="48">
        <v>261354.52000000002</v>
      </c>
      <c r="X80" s="48">
        <v>287489.97200000007</v>
      </c>
      <c r="Y80" s="48">
        <v>567096597.14318192</v>
      </c>
      <c r="Z80" s="48">
        <v>366476196.9849546</v>
      </c>
      <c r="AA80" s="47" t="s">
        <v>109</v>
      </c>
      <c r="AB80" s="47" t="s">
        <v>110</v>
      </c>
      <c r="AC80" s="47" t="s">
        <v>103</v>
      </c>
      <c r="AD80" s="48" t="s">
        <v>103</v>
      </c>
      <c r="AE80" s="47" t="s">
        <v>240</v>
      </c>
      <c r="AF80" s="47" t="s">
        <v>105</v>
      </c>
      <c r="AG80" s="47" t="s">
        <v>33</v>
      </c>
      <c r="AT80" s="5"/>
    </row>
    <row r="81" spans="1:46">
      <c r="A81" s="46">
        <v>45503</v>
      </c>
      <c r="B81" s="47" t="s">
        <v>289</v>
      </c>
      <c r="C81" s="47" t="s">
        <v>99</v>
      </c>
      <c r="D81" s="47" t="s">
        <v>100</v>
      </c>
      <c r="E81" s="47" t="s">
        <v>241</v>
      </c>
      <c r="F81" s="47" t="s">
        <v>112</v>
      </c>
      <c r="G81" s="47" t="s">
        <v>172</v>
      </c>
      <c r="H81" s="47" t="s">
        <v>113</v>
      </c>
      <c r="I81" s="47" t="s">
        <v>103</v>
      </c>
      <c r="J81" s="47" t="s">
        <v>44</v>
      </c>
      <c r="K81" s="47" t="s">
        <v>242</v>
      </c>
      <c r="L81" s="47" t="s">
        <v>103</v>
      </c>
      <c r="M81" s="47" t="s">
        <v>103</v>
      </c>
      <c r="N81" s="47" t="s">
        <v>103</v>
      </c>
      <c r="O81" s="47" t="s">
        <v>115</v>
      </c>
      <c r="P81" s="48">
        <v>-4783889</v>
      </c>
      <c r="Q81" s="48">
        <v>1</v>
      </c>
      <c r="R81" s="48">
        <v>0.92</v>
      </c>
      <c r="S81" s="48">
        <v>-4783889</v>
      </c>
      <c r="T81" s="48">
        <v>-4401177.88</v>
      </c>
      <c r="U81" s="48">
        <v>1</v>
      </c>
      <c r="V81" s="48">
        <v>-4783889</v>
      </c>
      <c r="W81" s="48">
        <v>-4401177.88</v>
      </c>
      <c r="X81" s="48">
        <v>-4401177.88</v>
      </c>
      <c r="Y81" s="48">
        <v>567096597.14318192</v>
      </c>
      <c r="Z81" s="48">
        <v>366476196.9849546</v>
      </c>
      <c r="AA81" s="47" t="s">
        <v>116</v>
      </c>
      <c r="AB81" s="47" t="s">
        <v>117</v>
      </c>
      <c r="AC81" s="47" t="s">
        <v>103</v>
      </c>
      <c r="AD81" s="48" t="s">
        <v>103</v>
      </c>
      <c r="AE81" s="47" t="s">
        <v>103</v>
      </c>
      <c r="AF81" s="47" t="s">
        <v>103</v>
      </c>
      <c r="AG81" s="47" t="s">
        <v>103</v>
      </c>
      <c r="AT81" s="5"/>
    </row>
    <row r="82" spans="1:46">
      <c r="A82" s="46">
        <v>45503</v>
      </c>
      <c r="B82" s="47" t="s">
        <v>289</v>
      </c>
      <c r="C82" s="47" t="s">
        <v>99</v>
      </c>
      <c r="D82" s="47" t="s">
        <v>100</v>
      </c>
      <c r="E82" s="47" t="s">
        <v>243</v>
      </c>
      <c r="F82" s="47" t="s">
        <v>102</v>
      </c>
      <c r="G82" s="47" t="s">
        <v>244</v>
      </c>
      <c r="H82" s="47" t="s">
        <v>100</v>
      </c>
      <c r="I82" s="47" t="s">
        <v>103</v>
      </c>
      <c r="J82" s="47" t="s">
        <v>44</v>
      </c>
      <c r="K82" s="47" t="s">
        <v>242</v>
      </c>
      <c r="L82" s="47" t="s">
        <v>103</v>
      </c>
      <c r="M82" s="47" t="s">
        <v>103</v>
      </c>
      <c r="N82" s="47" t="s">
        <v>103</v>
      </c>
      <c r="O82" s="47" t="s">
        <v>245</v>
      </c>
      <c r="P82" s="48">
        <v>9677271</v>
      </c>
      <c r="Q82" s="48">
        <v>1</v>
      </c>
      <c r="R82" s="48">
        <v>1</v>
      </c>
      <c r="S82" s="48">
        <v>9677271</v>
      </c>
      <c r="T82" s="48">
        <v>9677271</v>
      </c>
      <c r="U82" s="48">
        <v>1</v>
      </c>
      <c r="V82" s="48">
        <v>9677271</v>
      </c>
      <c r="W82" s="48">
        <v>9677271</v>
      </c>
      <c r="X82" s="48">
        <v>9677271</v>
      </c>
      <c r="Y82" s="48">
        <v>616409344.72084987</v>
      </c>
      <c r="Z82" s="48">
        <v>366476196.9849546</v>
      </c>
      <c r="AA82" s="47" t="s">
        <v>116</v>
      </c>
      <c r="AB82" s="47" t="s">
        <v>117</v>
      </c>
      <c r="AC82" s="47" t="s">
        <v>103</v>
      </c>
      <c r="AD82" s="48" t="s">
        <v>103</v>
      </c>
      <c r="AE82" s="47" t="s">
        <v>103</v>
      </c>
      <c r="AF82" s="47" t="s">
        <v>103</v>
      </c>
      <c r="AG82" s="47" t="s">
        <v>103</v>
      </c>
      <c r="AT82" s="5"/>
    </row>
    <row r="83" spans="1:46">
      <c r="A83" s="46">
        <v>45503</v>
      </c>
      <c r="B83" s="47" t="s">
        <v>289</v>
      </c>
      <c r="C83" s="47" t="s">
        <v>99</v>
      </c>
      <c r="D83" s="47" t="s">
        <v>100</v>
      </c>
      <c r="E83" s="47" t="s">
        <v>241</v>
      </c>
      <c r="F83" s="47" t="s">
        <v>102</v>
      </c>
      <c r="G83" s="47" t="s">
        <v>244</v>
      </c>
      <c r="H83" s="47" t="s">
        <v>113</v>
      </c>
      <c r="I83" s="47" t="s">
        <v>103</v>
      </c>
      <c r="J83" s="47" t="s">
        <v>44</v>
      </c>
      <c r="K83" s="47" t="s">
        <v>242</v>
      </c>
      <c r="L83" s="47" t="s">
        <v>103</v>
      </c>
      <c r="M83" s="47" t="s">
        <v>103</v>
      </c>
      <c r="N83" s="47" t="s">
        <v>103</v>
      </c>
      <c r="O83" s="47" t="s">
        <v>245</v>
      </c>
      <c r="P83" s="48">
        <v>7741816.8000000007</v>
      </c>
      <c r="Q83" s="48">
        <v>1</v>
      </c>
      <c r="R83" s="48">
        <v>0.92</v>
      </c>
      <c r="S83" s="48">
        <v>7741816.8000000007</v>
      </c>
      <c r="T83" s="48">
        <v>7122471.4560000012</v>
      </c>
      <c r="U83" s="48">
        <v>1</v>
      </c>
      <c r="V83" s="48">
        <v>7741816.8000000007</v>
      </c>
      <c r="W83" s="48">
        <v>7122471.4560000012</v>
      </c>
      <c r="X83" s="48">
        <v>7122471.4560000012</v>
      </c>
      <c r="Y83" s="48">
        <v>567096597.14318192</v>
      </c>
      <c r="Z83" s="48">
        <v>366476196.9849546</v>
      </c>
      <c r="AA83" s="47" t="s">
        <v>116</v>
      </c>
      <c r="AB83" s="47" t="s">
        <v>117</v>
      </c>
      <c r="AC83" s="47" t="s">
        <v>103</v>
      </c>
      <c r="AD83" s="48" t="s">
        <v>103</v>
      </c>
      <c r="AE83" s="47" t="s">
        <v>103</v>
      </c>
      <c r="AF83" s="47" t="s">
        <v>103</v>
      </c>
      <c r="AG83" s="47" t="s">
        <v>103</v>
      </c>
      <c r="AT83" s="5"/>
    </row>
    <row r="84" spans="1:46">
      <c r="A84" s="46">
        <v>45503</v>
      </c>
      <c r="B84" s="47" t="s">
        <v>289</v>
      </c>
      <c r="C84" s="47" t="s">
        <v>99</v>
      </c>
      <c r="D84" s="47" t="s">
        <v>100</v>
      </c>
      <c r="E84" s="47" t="s">
        <v>243</v>
      </c>
      <c r="F84" s="47" t="s">
        <v>102</v>
      </c>
      <c r="G84" s="47" t="s">
        <v>246</v>
      </c>
      <c r="H84" s="47" t="s">
        <v>100</v>
      </c>
      <c r="I84" s="47" t="s">
        <v>103</v>
      </c>
      <c r="J84" s="47" t="s">
        <v>44</v>
      </c>
      <c r="K84" s="47" t="s">
        <v>242</v>
      </c>
      <c r="L84" s="47" t="s">
        <v>103</v>
      </c>
      <c r="M84" s="47" t="s">
        <v>103</v>
      </c>
      <c r="N84" s="47" t="s">
        <v>103</v>
      </c>
      <c r="O84" s="47" t="s">
        <v>153</v>
      </c>
      <c r="P84" s="48">
        <v>9193407.4499999993</v>
      </c>
      <c r="Q84" s="48">
        <v>1</v>
      </c>
      <c r="R84" s="48">
        <v>1</v>
      </c>
      <c r="S84" s="48">
        <v>9193407.4499999993</v>
      </c>
      <c r="T84" s="48">
        <v>9193407.4499999993</v>
      </c>
      <c r="U84" s="48">
        <v>1</v>
      </c>
      <c r="V84" s="48">
        <v>9193407.4499999993</v>
      </c>
      <c r="W84" s="48">
        <v>9193407.4499999993</v>
      </c>
      <c r="X84" s="48">
        <v>9193407.4499999993</v>
      </c>
      <c r="Y84" s="48">
        <v>616409344.72084987</v>
      </c>
      <c r="Z84" s="48">
        <v>366476196.9849546</v>
      </c>
      <c r="AA84" s="47" t="s">
        <v>116</v>
      </c>
      <c r="AB84" s="47" t="s">
        <v>117</v>
      </c>
      <c r="AC84" s="47" t="s">
        <v>103</v>
      </c>
      <c r="AD84" s="48" t="s">
        <v>103</v>
      </c>
      <c r="AE84" s="47" t="s">
        <v>103</v>
      </c>
      <c r="AF84" s="47" t="s">
        <v>103</v>
      </c>
      <c r="AG84" s="47" t="s">
        <v>103</v>
      </c>
      <c r="AT84" s="5"/>
    </row>
    <row r="85" spans="1:46">
      <c r="A85" s="46">
        <v>45503</v>
      </c>
      <c r="B85" s="47" t="s">
        <v>289</v>
      </c>
      <c r="C85" s="47" t="s">
        <v>99</v>
      </c>
      <c r="D85" s="47" t="s">
        <v>100</v>
      </c>
      <c r="E85" s="47" t="s">
        <v>247</v>
      </c>
      <c r="F85" s="47" t="s">
        <v>112</v>
      </c>
      <c r="G85" s="47" t="s">
        <v>172</v>
      </c>
      <c r="H85" s="47" t="s">
        <v>113</v>
      </c>
      <c r="I85" s="47">
        <v>45575</v>
      </c>
      <c r="J85" s="47" t="s">
        <v>248</v>
      </c>
      <c r="K85" s="47" t="s">
        <v>43</v>
      </c>
      <c r="L85" s="47" t="s">
        <v>103</v>
      </c>
      <c r="M85" s="47" t="s">
        <v>103</v>
      </c>
      <c r="N85" s="47" t="s">
        <v>103</v>
      </c>
      <c r="O85" s="47" t="s">
        <v>115</v>
      </c>
      <c r="P85" s="48">
        <v>-34760800</v>
      </c>
      <c r="Q85" s="48">
        <v>0.91200000000000003</v>
      </c>
      <c r="R85" s="48">
        <v>0.92</v>
      </c>
      <c r="S85" s="48">
        <v>-660455.20000000054</v>
      </c>
      <c r="T85" s="48">
        <v>-607618.78400000057</v>
      </c>
      <c r="U85" s="48">
        <v>0.89300000000000002</v>
      </c>
      <c r="V85" s="48">
        <v>-660455.20000000054</v>
      </c>
      <c r="W85" s="48">
        <v>-607618.78400000057</v>
      </c>
      <c r="X85" s="48">
        <v>-29165701.632000003</v>
      </c>
      <c r="Y85" s="48">
        <v>567096597.14318192</v>
      </c>
      <c r="Z85" s="48">
        <v>366476196.9849546</v>
      </c>
      <c r="AA85" s="47" t="s">
        <v>116</v>
      </c>
      <c r="AB85" s="47" t="s">
        <v>117</v>
      </c>
      <c r="AC85" s="47" t="s">
        <v>103</v>
      </c>
      <c r="AD85" s="48" t="s">
        <v>103</v>
      </c>
      <c r="AE85" s="47" t="s">
        <v>103</v>
      </c>
      <c r="AF85" s="47" t="s">
        <v>103</v>
      </c>
      <c r="AG85" s="47" t="s">
        <v>103</v>
      </c>
      <c r="AT85" s="5"/>
    </row>
    <row r="86" spans="1:46">
      <c r="A86" s="46">
        <v>45503</v>
      </c>
      <c r="B86" s="47" t="s">
        <v>289</v>
      </c>
      <c r="C86" s="47" t="s">
        <v>99</v>
      </c>
      <c r="D86" s="47" t="s">
        <v>100</v>
      </c>
      <c r="E86" s="47" t="s">
        <v>249</v>
      </c>
      <c r="F86" s="47" t="s">
        <v>102</v>
      </c>
      <c r="G86" s="47" t="s">
        <v>246</v>
      </c>
      <c r="H86" s="47" t="s">
        <v>137</v>
      </c>
      <c r="I86" s="47">
        <v>45561</v>
      </c>
      <c r="J86" s="47" t="s">
        <v>248</v>
      </c>
      <c r="K86" s="47" t="s">
        <v>43</v>
      </c>
      <c r="L86" s="47" t="s">
        <v>103</v>
      </c>
      <c r="M86" s="47" t="s">
        <v>103</v>
      </c>
      <c r="N86" s="47" t="s">
        <v>103</v>
      </c>
      <c r="O86" s="47" t="s">
        <v>153</v>
      </c>
      <c r="P86" s="48">
        <v>35472800</v>
      </c>
      <c r="Q86" s="48">
        <v>6.5000000000000002E-2</v>
      </c>
      <c r="R86" s="48">
        <v>6.2E-2</v>
      </c>
      <c r="S86" s="48">
        <v>-141891.20000000013</v>
      </c>
      <c r="T86" s="48">
        <v>-8797.2544000000071</v>
      </c>
      <c r="U86" s="48">
        <v>6.9000000000000006E-2</v>
      </c>
      <c r="V86" s="48">
        <v>-141891.20000000013</v>
      </c>
      <c r="W86" s="48">
        <v>-8797.2544000000071</v>
      </c>
      <c r="X86" s="48">
        <v>142955.38399999999</v>
      </c>
      <c r="Y86" s="48">
        <v>38217379.372692689</v>
      </c>
      <c r="Z86" s="48">
        <v>366476196.9849546</v>
      </c>
      <c r="AA86" s="47" t="s">
        <v>130</v>
      </c>
      <c r="AB86" s="47" t="s">
        <v>117</v>
      </c>
      <c r="AC86" s="47" t="s">
        <v>103</v>
      </c>
      <c r="AD86" s="48" t="s">
        <v>103</v>
      </c>
      <c r="AE86" s="47" t="s">
        <v>103</v>
      </c>
      <c r="AF86" s="47" t="s">
        <v>103</v>
      </c>
      <c r="AG86" s="47" t="s">
        <v>103</v>
      </c>
      <c r="AT86" s="5"/>
    </row>
    <row r="87" spans="1:46">
      <c r="A87" s="46">
        <v>45503</v>
      </c>
      <c r="B87" s="47" t="s">
        <v>289</v>
      </c>
      <c r="C87" s="47" t="s">
        <v>99</v>
      </c>
      <c r="D87" s="47" t="s">
        <v>100</v>
      </c>
      <c r="E87" s="47" t="s">
        <v>250</v>
      </c>
      <c r="F87" s="47" t="s">
        <v>102</v>
      </c>
      <c r="G87" s="47" t="s">
        <v>202</v>
      </c>
      <c r="H87" s="47" t="s">
        <v>203</v>
      </c>
      <c r="I87" s="47">
        <v>45559</v>
      </c>
      <c r="J87" s="47" t="s">
        <v>248</v>
      </c>
      <c r="K87" s="47" t="s">
        <v>43</v>
      </c>
      <c r="L87" s="47" t="s">
        <v>103</v>
      </c>
      <c r="M87" s="47" t="s">
        <v>103</v>
      </c>
      <c r="N87" s="47" t="s">
        <v>103</v>
      </c>
      <c r="O87" s="47" t="s">
        <v>245</v>
      </c>
      <c r="P87" s="48">
        <v>75399300</v>
      </c>
      <c r="Q87" s="48">
        <v>0.14000000000000001</v>
      </c>
      <c r="R87" s="48">
        <v>0.13</v>
      </c>
      <c r="S87" s="48">
        <v>753993.0000000007</v>
      </c>
      <c r="T87" s="48">
        <v>98019.090000000098</v>
      </c>
      <c r="U87" s="48">
        <v>0.13</v>
      </c>
      <c r="V87" s="48">
        <v>753993.0000000007</v>
      </c>
      <c r="W87" s="48">
        <v>98019.090000000098</v>
      </c>
      <c r="X87" s="48">
        <v>1372267.26</v>
      </c>
      <c r="Y87" s="48">
        <v>80133214.813710481</v>
      </c>
      <c r="Z87" s="48">
        <v>366476196.9849546</v>
      </c>
      <c r="AA87" s="47" t="s">
        <v>130</v>
      </c>
      <c r="AB87" s="47" t="s">
        <v>117</v>
      </c>
      <c r="AC87" s="47" t="s">
        <v>103</v>
      </c>
      <c r="AD87" s="48" t="s">
        <v>103</v>
      </c>
      <c r="AE87" s="47" t="s">
        <v>103</v>
      </c>
      <c r="AF87" s="47" t="s">
        <v>103</v>
      </c>
      <c r="AG87" s="47" t="s">
        <v>103</v>
      </c>
    </row>
    <row r="88" spans="1:46">
      <c r="A88" s="46">
        <v>45503</v>
      </c>
      <c r="B88" s="47" t="s">
        <v>289</v>
      </c>
      <c r="C88" s="47" t="s">
        <v>99</v>
      </c>
      <c r="D88" s="47" t="s">
        <v>100</v>
      </c>
      <c r="E88" s="47" t="s">
        <v>251</v>
      </c>
      <c r="F88" s="47" t="s">
        <v>102</v>
      </c>
      <c r="G88" s="47" t="s">
        <v>191</v>
      </c>
      <c r="H88" s="47" t="s">
        <v>169</v>
      </c>
      <c r="I88" s="47">
        <v>45589</v>
      </c>
      <c r="J88" s="47" t="s">
        <v>248</v>
      </c>
      <c r="K88" s="47" t="s">
        <v>43</v>
      </c>
      <c r="L88" s="47" t="s">
        <v>103</v>
      </c>
      <c r="M88" s="47" t="s">
        <v>103</v>
      </c>
      <c r="N88" s="47" t="s">
        <v>103</v>
      </c>
      <c r="O88" s="47" t="s">
        <v>245</v>
      </c>
      <c r="P88" s="48">
        <v>46574800</v>
      </c>
      <c r="Q88" s="48">
        <v>1.1100000000000001</v>
      </c>
      <c r="R88" s="48">
        <v>1.06</v>
      </c>
      <c r="S88" s="48">
        <v>1862992.0000000016</v>
      </c>
      <c r="T88" s="48">
        <v>1974771.5200000019</v>
      </c>
      <c r="U88" s="48">
        <v>1.07</v>
      </c>
      <c r="V88" s="48">
        <v>1862992.0000000016</v>
      </c>
      <c r="W88" s="48">
        <v>1974771.5200000019</v>
      </c>
      <c r="X88" s="48">
        <v>54799909.680000007</v>
      </c>
      <c r="Y88" s="48">
        <v>653393905.40410089</v>
      </c>
      <c r="Z88" s="48">
        <v>366476196.9849546</v>
      </c>
      <c r="AA88" s="47" t="s">
        <v>130</v>
      </c>
      <c r="AB88" s="47" t="s">
        <v>117</v>
      </c>
      <c r="AC88" s="47" t="s">
        <v>103</v>
      </c>
      <c r="AD88" s="48" t="s">
        <v>103</v>
      </c>
      <c r="AE88" s="47" t="s">
        <v>103</v>
      </c>
      <c r="AF88" s="47" t="s">
        <v>103</v>
      </c>
      <c r="AG88" s="47" t="s">
        <v>103</v>
      </c>
    </row>
    <row r="89" spans="1:46">
      <c r="A89" s="46">
        <v>45503</v>
      </c>
      <c r="B89" s="47" t="s">
        <v>289</v>
      </c>
      <c r="C89" s="47" t="s">
        <v>99</v>
      </c>
      <c r="D89" s="47" t="s">
        <v>100</v>
      </c>
      <c r="E89" s="47" t="s">
        <v>252</v>
      </c>
      <c r="F89" s="47" t="s">
        <v>102</v>
      </c>
      <c r="G89" s="47" t="s">
        <v>157</v>
      </c>
      <c r="H89" s="47" t="s">
        <v>100</v>
      </c>
      <c r="I89" s="47">
        <v>45565</v>
      </c>
      <c r="J89" s="47" t="s">
        <v>147</v>
      </c>
      <c r="K89" s="47" t="s">
        <v>148</v>
      </c>
      <c r="L89" s="47" t="s">
        <v>28</v>
      </c>
      <c r="M89" s="47" t="s">
        <v>28</v>
      </c>
      <c r="N89" s="47" t="s">
        <v>103</v>
      </c>
      <c r="O89" s="47" t="s">
        <v>224</v>
      </c>
      <c r="P89" s="48">
        <v>6540076</v>
      </c>
      <c r="Q89" s="48">
        <v>46.14</v>
      </c>
      <c r="R89" s="48">
        <v>1</v>
      </c>
      <c r="S89" s="48">
        <v>-7128682.8399999756</v>
      </c>
      <c r="T89" s="48">
        <v>-7128682.8399999756</v>
      </c>
      <c r="U89" s="48">
        <v>47.23</v>
      </c>
      <c r="V89" s="48">
        <v>-7128682.8399999756</v>
      </c>
      <c r="W89" s="48">
        <v>-7128682.8399999756</v>
      </c>
      <c r="X89" s="48">
        <v>301759106.63999999</v>
      </c>
      <c r="Y89" s="48">
        <v>616409344.72084987</v>
      </c>
      <c r="Z89" s="48">
        <v>366476196.9849546</v>
      </c>
      <c r="AA89" s="47" t="s">
        <v>130</v>
      </c>
      <c r="AB89" s="47" t="s">
        <v>117</v>
      </c>
      <c r="AC89" s="47">
        <v>3.9E-2</v>
      </c>
      <c r="AD89" s="48" t="s">
        <v>103</v>
      </c>
      <c r="AE89" s="47" t="s">
        <v>253</v>
      </c>
      <c r="AF89" s="47" t="s">
        <v>125</v>
      </c>
      <c r="AG89" s="47" t="s">
        <v>159</v>
      </c>
    </row>
    <row r="90" spans="1:46">
      <c r="A90" s="4">
        <v>45503</v>
      </c>
      <c r="B90" s="4" t="s">
        <v>292</v>
      </c>
      <c r="C90" s="4" t="s">
        <v>99</v>
      </c>
      <c r="D90" s="4" t="s">
        <v>100</v>
      </c>
      <c r="E90" s="4" t="s">
        <v>101</v>
      </c>
      <c r="F90" s="4" t="s">
        <v>102</v>
      </c>
      <c r="G90" s="4" t="s">
        <v>103</v>
      </c>
      <c r="H90" s="4" t="s">
        <v>104</v>
      </c>
      <c r="I90" s="4" t="s">
        <v>103</v>
      </c>
      <c r="J90" s="4" t="s">
        <v>105</v>
      </c>
      <c r="K90" s="4" t="s">
        <v>33</v>
      </c>
      <c r="L90" s="4" t="s">
        <v>106</v>
      </c>
      <c r="M90" s="4" t="s">
        <v>106</v>
      </c>
      <c r="N90" s="4" t="s">
        <v>107</v>
      </c>
      <c r="O90" s="4" t="s">
        <v>108</v>
      </c>
      <c r="P90" s="19">
        <v>430621</v>
      </c>
      <c r="Q90" s="19">
        <v>124.14</v>
      </c>
      <c r="R90" s="19">
        <v>0.12</v>
      </c>
      <c r="S90" s="19">
        <v>53457290.939999998</v>
      </c>
      <c r="T90" s="19">
        <v>6414874.9127999991</v>
      </c>
      <c r="U90" s="19">
        <v>110.12</v>
      </c>
      <c r="V90" s="19">
        <v>6037306.4199999981</v>
      </c>
      <c r="W90" s="19">
        <v>724476.77039999969</v>
      </c>
      <c r="X90" s="19">
        <v>6414874.9127999991</v>
      </c>
      <c r="Y90" s="19">
        <v>73969121.366501987</v>
      </c>
      <c r="Z90" s="19">
        <v>732952393.96990895</v>
      </c>
      <c r="AA90" s="4" t="s">
        <v>109</v>
      </c>
      <c r="AB90" s="4" t="s">
        <v>110</v>
      </c>
      <c r="AC90" s="4" t="s">
        <v>103</v>
      </c>
      <c r="AD90" s="19" t="s">
        <v>103</v>
      </c>
      <c r="AE90" s="4" t="s">
        <v>103</v>
      </c>
      <c r="AF90" s="4" t="s">
        <v>103</v>
      </c>
      <c r="AG90" s="4" t="s">
        <v>103</v>
      </c>
    </row>
    <row r="91" spans="1:46">
      <c r="A91" s="4">
        <v>45503</v>
      </c>
      <c r="B91" s="4" t="s">
        <v>292</v>
      </c>
      <c r="C91" s="4" t="s">
        <v>99</v>
      </c>
      <c r="D91" s="4" t="s">
        <v>100</v>
      </c>
      <c r="E91" s="4" t="s">
        <v>111</v>
      </c>
      <c r="F91" s="4" t="s">
        <v>112</v>
      </c>
      <c r="G91" s="4" t="s">
        <v>103</v>
      </c>
      <c r="H91" s="4" t="s">
        <v>113</v>
      </c>
      <c r="I91" s="4" t="s">
        <v>103</v>
      </c>
      <c r="J91" s="4" t="s">
        <v>105</v>
      </c>
      <c r="K91" s="4" t="s">
        <v>33</v>
      </c>
      <c r="L91" s="4" t="s">
        <v>114</v>
      </c>
      <c r="M91" s="4" t="s">
        <v>114</v>
      </c>
      <c r="N91" s="4" t="s">
        <v>107</v>
      </c>
      <c r="O91" s="4" t="s">
        <v>115</v>
      </c>
      <c r="P91" s="19">
        <v>-64142.080000000002</v>
      </c>
      <c r="Q91" s="19">
        <v>75.22</v>
      </c>
      <c r="R91" s="19">
        <v>0.92</v>
      </c>
      <c r="S91" s="19">
        <v>-4824767.2576000001</v>
      </c>
      <c r="T91" s="19">
        <v>-4438785.8769920003</v>
      </c>
      <c r="U91" s="19">
        <v>73.2</v>
      </c>
      <c r="V91" s="19">
        <v>-129567.00159999974</v>
      </c>
      <c r="W91" s="19">
        <v>-119201.64147199977</v>
      </c>
      <c r="X91" s="19">
        <v>-4438785.8769920003</v>
      </c>
      <c r="Y91" s="19">
        <v>567096597.14318192</v>
      </c>
      <c r="Z91" s="19">
        <v>732952393.96990895</v>
      </c>
      <c r="AA91" s="4" t="s">
        <v>116</v>
      </c>
      <c r="AB91" s="4" t="s">
        <v>117</v>
      </c>
      <c r="AC91" s="4" t="s">
        <v>103</v>
      </c>
      <c r="AD91" s="19" t="s">
        <v>103</v>
      </c>
      <c r="AE91" s="4" t="s">
        <v>103</v>
      </c>
      <c r="AF91" s="4" t="s">
        <v>103</v>
      </c>
      <c r="AG91" s="4" t="s">
        <v>103</v>
      </c>
    </row>
    <row r="92" spans="1:46">
      <c r="A92" s="4">
        <v>45503</v>
      </c>
      <c r="B92" s="4" t="s">
        <v>292</v>
      </c>
      <c r="C92" s="4" t="s">
        <v>99</v>
      </c>
      <c r="D92" s="4" t="s">
        <v>100</v>
      </c>
      <c r="E92" s="4" t="s">
        <v>118</v>
      </c>
      <c r="F92" s="4" t="s">
        <v>102</v>
      </c>
      <c r="G92" s="4" t="s">
        <v>103</v>
      </c>
      <c r="H92" s="4" t="s">
        <v>119</v>
      </c>
      <c r="I92" s="4" t="s">
        <v>103</v>
      </c>
      <c r="J92" s="4" t="s">
        <v>105</v>
      </c>
      <c r="K92" s="4" t="s">
        <v>34</v>
      </c>
      <c r="L92" s="4" t="s">
        <v>120</v>
      </c>
      <c r="M92" s="4" t="s">
        <v>121</v>
      </c>
      <c r="N92" s="4" t="s">
        <v>107</v>
      </c>
      <c r="O92" s="4" t="s">
        <v>122</v>
      </c>
      <c r="P92" s="19">
        <v>113810.632</v>
      </c>
      <c r="Q92" s="19">
        <v>598.15</v>
      </c>
      <c r="R92" s="19">
        <v>6.7000000000000004E-2</v>
      </c>
      <c r="S92" s="19">
        <v>68075829.5308</v>
      </c>
      <c r="T92" s="19">
        <v>4561080.5785635998</v>
      </c>
      <c r="U92" s="19">
        <v>596.33000000000004</v>
      </c>
      <c r="V92" s="19">
        <v>207135.35023999275</v>
      </c>
      <c r="W92" s="19">
        <v>13878.068466079516</v>
      </c>
      <c r="X92" s="19">
        <v>4561080.5785635998</v>
      </c>
      <c r="Y92" s="19">
        <v>41299426.096296944</v>
      </c>
      <c r="Z92" s="19">
        <v>732952393.96990895</v>
      </c>
      <c r="AA92" s="4" t="s">
        <v>109</v>
      </c>
      <c r="AB92" s="4" t="s">
        <v>110</v>
      </c>
      <c r="AC92" s="4" t="s">
        <v>103</v>
      </c>
      <c r="AD92" s="19" t="s">
        <v>103</v>
      </c>
      <c r="AE92" s="4" t="s">
        <v>123</v>
      </c>
      <c r="AF92" s="4" t="s">
        <v>105</v>
      </c>
      <c r="AG92" s="4" t="s">
        <v>33</v>
      </c>
    </row>
    <row r="93" spans="1:46">
      <c r="A93" s="4">
        <v>45503</v>
      </c>
      <c r="B93" s="4" t="s">
        <v>292</v>
      </c>
      <c r="C93" s="4" t="s">
        <v>99</v>
      </c>
      <c r="D93" s="4" t="s">
        <v>100</v>
      </c>
      <c r="E93" s="4" t="s">
        <v>124</v>
      </c>
      <c r="F93" s="4" t="s">
        <v>102</v>
      </c>
      <c r="G93" s="4" t="s">
        <v>103</v>
      </c>
      <c r="H93" s="4" t="s">
        <v>100</v>
      </c>
      <c r="I93" s="4">
        <v>47253</v>
      </c>
      <c r="J93" s="4" t="s">
        <v>125</v>
      </c>
      <c r="K93" s="4" t="s">
        <v>126</v>
      </c>
      <c r="L93" s="4" t="s">
        <v>127</v>
      </c>
      <c r="M93" s="4" t="s">
        <v>128</v>
      </c>
      <c r="N93" s="4" t="s">
        <v>107</v>
      </c>
      <c r="O93" s="4" t="s">
        <v>129</v>
      </c>
      <c r="P93" s="19">
        <v>232396.5</v>
      </c>
      <c r="Q93" s="19">
        <v>100.09</v>
      </c>
      <c r="R93" s="19">
        <v>1</v>
      </c>
      <c r="S93" s="19">
        <v>23260565.685000002</v>
      </c>
      <c r="T93" s="19">
        <v>23260565.685000002</v>
      </c>
      <c r="U93" s="19">
        <v>100.4</v>
      </c>
      <c r="V93" s="19">
        <v>-72042.915000000532</v>
      </c>
      <c r="W93" s="19">
        <v>-72042.915000000532</v>
      </c>
      <c r="X93" s="19">
        <v>23260565.685000002</v>
      </c>
      <c r="Y93" s="19">
        <v>616409344.72084987</v>
      </c>
      <c r="Z93" s="19">
        <v>732952393.96990895</v>
      </c>
      <c r="AA93" s="4" t="s">
        <v>130</v>
      </c>
      <c r="AB93" s="4" t="s">
        <v>117</v>
      </c>
      <c r="AC93" s="4">
        <v>4.5999999999999999E-2</v>
      </c>
      <c r="AD93" s="19">
        <v>54195500</v>
      </c>
      <c r="AE93" s="4" t="s">
        <v>103</v>
      </c>
      <c r="AF93" s="4" t="s">
        <v>103</v>
      </c>
      <c r="AG93" s="4" t="s">
        <v>103</v>
      </c>
    </row>
    <row r="94" spans="1:46">
      <c r="A94" s="4">
        <v>45503</v>
      </c>
      <c r="B94" s="4" t="s">
        <v>292</v>
      </c>
      <c r="C94" s="4" t="s">
        <v>99</v>
      </c>
      <c r="D94" s="4" t="s">
        <v>100</v>
      </c>
      <c r="E94" s="4" t="s">
        <v>131</v>
      </c>
      <c r="F94" s="4" t="s">
        <v>102</v>
      </c>
      <c r="G94" s="4" t="s">
        <v>103</v>
      </c>
      <c r="H94" s="4" t="s">
        <v>113</v>
      </c>
      <c r="I94" s="4">
        <v>49095</v>
      </c>
      <c r="J94" s="4" t="s">
        <v>125</v>
      </c>
      <c r="K94" s="4" t="s">
        <v>132</v>
      </c>
      <c r="L94" s="4" t="s">
        <v>133</v>
      </c>
      <c r="M94" s="4" t="s">
        <v>134</v>
      </c>
      <c r="N94" s="4" t="s">
        <v>135</v>
      </c>
      <c r="O94" s="4" t="s">
        <v>115</v>
      </c>
      <c r="P94" s="19">
        <v>250731.25</v>
      </c>
      <c r="Q94" s="19">
        <v>96.78</v>
      </c>
      <c r="R94" s="19">
        <v>0.92</v>
      </c>
      <c r="S94" s="19">
        <v>24265770.375</v>
      </c>
      <c r="T94" s="19">
        <v>22324508.745000001</v>
      </c>
      <c r="U94" s="19">
        <v>94.3</v>
      </c>
      <c r="V94" s="19">
        <v>621813.50000000105</v>
      </c>
      <c r="W94" s="19">
        <v>572068.42000000097</v>
      </c>
      <c r="X94" s="19">
        <v>22324508.745000005</v>
      </c>
      <c r="Y94" s="19">
        <v>567096597.14318192</v>
      </c>
      <c r="Z94" s="19">
        <v>732952393.96990895</v>
      </c>
      <c r="AA94" s="4" t="s">
        <v>116</v>
      </c>
      <c r="AB94" s="4" t="s">
        <v>117</v>
      </c>
      <c r="AC94" s="4">
        <v>2.4E-2</v>
      </c>
      <c r="AD94" s="19">
        <v>250731250</v>
      </c>
      <c r="AE94" s="4" t="s">
        <v>103</v>
      </c>
      <c r="AF94" s="4" t="s">
        <v>103</v>
      </c>
      <c r="AG94" s="4" t="s">
        <v>103</v>
      </c>
    </row>
    <row r="95" spans="1:46">
      <c r="A95" s="4">
        <v>45503</v>
      </c>
      <c r="B95" s="4" t="s">
        <v>292</v>
      </c>
      <c r="C95" s="4" t="s">
        <v>99</v>
      </c>
      <c r="D95" s="4" t="s">
        <v>100</v>
      </c>
      <c r="E95" s="4" t="s">
        <v>136</v>
      </c>
      <c r="F95" s="4" t="s">
        <v>102</v>
      </c>
      <c r="G95" s="4" t="s">
        <v>103</v>
      </c>
      <c r="H95" s="4" t="s">
        <v>137</v>
      </c>
      <c r="I95" s="4" t="s">
        <v>103</v>
      </c>
      <c r="J95" s="4" t="s">
        <v>105</v>
      </c>
      <c r="K95" s="4" t="s">
        <v>33</v>
      </c>
      <c r="L95" s="4" t="s">
        <v>138</v>
      </c>
      <c r="M95" s="4" t="s">
        <v>139</v>
      </c>
      <c r="N95" s="4" t="s">
        <v>107</v>
      </c>
      <c r="O95" s="4" t="s">
        <v>140</v>
      </c>
      <c r="P95" s="19">
        <v>179604.25</v>
      </c>
      <c r="Q95" s="19">
        <v>849.12</v>
      </c>
      <c r="R95" s="19">
        <v>7.0000000000000001E-3</v>
      </c>
      <c r="S95" s="19">
        <v>152505560.75999999</v>
      </c>
      <c r="T95" s="19">
        <v>1067538.9253199999</v>
      </c>
      <c r="U95" s="19">
        <v>870.26</v>
      </c>
      <c r="V95" s="19">
        <v>-3796833.8449999974</v>
      </c>
      <c r="W95" s="19">
        <v>-26577.836914999982</v>
      </c>
      <c r="X95" s="19">
        <v>1067538.9253199999</v>
      </c>
      <c r="Y95" s="19">
        <v>4314865.4130459493</v>
      </c>
      <c r="Z95" s="19">
        <v>732952393.96990895</v>
      </c>
      <c r="AA95" s="4" t="s">
        <v>109</v>
      </c>
      <c r="AB95" s="4" t="s">
        <v>110</v>
      </c>
      <c r="AC95" s="4" t="s">
        <v>103</v>
      </c>
      <c r="AD95" s="19" t="s">
        <v>103</v>
      </c>
      <c r="AE95" s="4" t="s">
        <v>103</v>
      </c>
      <c r="AF95" s="4" t="s">
        <v>103</v>
      </c>
      <c r="AG95" s="4" t="s">
        <v>103</v>
      </c>
    </row>
    <row r="96" spans="1:46">
      <c r="A96" s="4">
        <v>45503</v>
      </c>
      <c r="B96" s="4" t="s">
        <v>292</v>
      </c>
      <c r="C96" s="4" t="s">
        <v>99</v>
      </c>
      <c r="D96" s="4" t="s">
        <v>100</v>
      </c>
      <c r="E96" s="4" t="s">
        <v>141</v>
      </c>
      <c r="F96" s="4" t="s">
        <v>102</v>
      </c>
      <c r="G96" s="4" t="s">
        <v>103</v>
      </c>
      <c r="H96" s="4" t="s">
        <v>100</v>
      </c>
      <c r="I96" s="4">
        <v>46234</v>
      </c>
      <c r="J96" s="4" t="s">
        <v>105</v>
      </c>
      <c r="K96" s="4" t="s">
        <v>35</v>
      </c>
      <c r="L96" s="4" t="s">
        <v>142</v>
      </c>
      <c r="M96" s="4" t="s">
        <v>142</v>
      </c>
      <c r="N96" s="4" t="s">
        <v>107</v>
      </c>
      <c r="O96" s="4" t="s">
        <v>143</v>
      </c>
      <c r="P96" s="19">
        <v>2550578.25</v>
      </c>
      <c r="Q96" s="19">
        <v>0.9</v>
      </c>
      <c r="R96" s="19">
        <v>1</v>
      </c>
      <c r="S96" s="19">
        <v>2295520.4250000003</v>
      </c>
      <c r="T96" s="19">
        <v>2295520.4250000003</v>
      </c>
      <c r="U96" s="19">
        <v>0.91</v>
      </c>
      <c r="V96" s="19">
        <v>-25505.782500000023</v>
      </c>
      <c r="W96" s="19">
        <v>-25505.782500000023</v>
      </c>
      <c r="X96" s="19">
        <v>2295520.4250000003</v>
      </c>
      <c r="Y96" s="19">
        <v>616409344.72084987</v>
      </c>
      <c r="Z96" s="19">
        <v>732952393.96990895</v>
      </c>
      <c r="AA96" s="4" t="s">
        <v>130</v>
      </c>
      <c r="AB96" s="4" t="s">
        <v>117</v>
      </c>
      <c r="AC96" s="4" t="s">
        <v>103</v>
      </c>
      <c r="AD96" s="19" t="s">
        <v>103</v>
      </c>
      <c r="AE96" s="4" t="s">
        <v>144</v>
      </c>
      <c r="AF96" s="4" t="s">
        <v>105</v>
      </c>
      <c r="AG96" s="4" t="s">
        <v>33</v>
      </c>
    </row>
    <row r="97" spans="1:33">
      <c r="A97" s="4">
        <v>45503</v>
      </c>
      <c r="B97" s="4" t="s">
        <v>292</v>
      </c>
      <c r="C97" s="4" t="s">
        <v>99</v>
      </c>
      <c r="D97" s="4" t="s">
        <v>100</v>
      </c>
      <c r="E97" s="4" t="s">
        <v>145</v>
      </c>
      <c r="F97" s="4" t="s">
        <v>102</v>
      </c>
      <c r="G97" s="4" t="s">
        <v>146</v>
      </c>
      <c r="H97" s="4" t="s">
        <v>113</v>
      </c>
      <c r="I97" s="4">
        <v>45646</v>
      </c>
      <c r="J97" s="4" t="s">
        <v>147</v>
      </c>
      <c r="K97" s="4" t="s">
        <v>148</v>
      </c>
      <c r="L97" s="4" t="s">
        <v>28</v>
      </c>
      <c r="M97" s="4" t="s">
        <v>28</v>
      </c>
      <c r="N97" s="4" t="s">
        <v>103</v>
      </c>
      <c r="O97" s="4" t="s">
        <v>115</v>
      </c>
      <c r="P97" s="19">
        <v>5991000</v>
      </c>
      <c r="Q97" s="19">
        <v>34.119999999999997</v>
      </c>
      <c r="R97" s="19">
        <v>0.92</v>
      </c>
      <c r="S97" s="19">
        <v>-119820</v>
      </c>
      <c r="T97" s="19">
        <v>-110234.40000000001</v>
      </c>
      <c r="U97" s="19">
        <v>36.119999999999997</v>
      </c>
      <c r="V97" s="19">
        <v>-119820</v>
      </c>
      <c r="W97" s="19">
        <v>-110234.40000000001</v>
      </c>
      <c r="X97" s="19">
        <v>188059886.40000001</v>
      </c>
      <c r="Y97" s="19">
        <v>567096597.14318192</v>
      </c>
      <c r="Z97" s="19">
        <v>732952393.96990895</v>
      </c>
      <c r="AA97" s="4" t="s">
        <v>116</v>
      </c>
      <c r="AB97" s="4" t="s">
        <v>117</v>
      </c>
      <c r="AC97" s="4">
        <v>4.2999999999999997E-2</v>
      </c>
      <c r="AD97" s="19" t="s">
        <v>103</v>
      </c>
      <c r="AE97" s="4" t="s">
        <v>149</v>
      </c>
      <c r="AF97" s="4" t="s">
        <v>125</v>
      </c>
      <c r="AG97" s="4" t="s">
        <v>150</v>
      </c>
    </row>
    <row r="98" spans="1:33">
      <c r="A98" s="4">
        <v>45503</v>
      </c>
      <c r="B98" s="4" t="s">
        <v>292</v>
      </c>
      <c r="C98" s="4" t="s">
        <v>99</v>
      </c>
      <c r="D98" s="4" t="s">
        <v>100</v>
      </c>
      <c r="E98" s="4" t="s">
        <v>151</v>
      </c>
      <c r="F98" s="4" t="s">
        <v>112</v>
      </c>
      <c r="G98" s="4" t="s">
        <v>103</v>
      </c>
      <c r="H98" s="4" t="s">
        <v>100</v>
      </c>
      <c r="I98" s="4">
        <v>49125</v>
      </c>
      <c r="J98" s="4" t="s">
        <v>125</v>
      </c>
      <c r="K98" s="4" t="s">
        <v>126</v>
      </c>
      <c r="L98" s="4" t="s">
        <v>152</v>
      </c>
      <c r="M98" s="4" t="s">
        <v>152</v>
      </c>
      <c r="N98" s="4" t="s">
        <v>107</v>
      </c>
      <c r="O98" s="4" t="s">
        <v>153</v>
      </c>
      <c r="P98" s="19">
        <v>-262708.25</v>
      </c>
      <c r="Q98" s="19">
        <v>107.83</v>
      </c>
      <c r="R98" s="19">
        <v>1</v>
      </c>
      <c r="S98" s="19">
        <v>-28327830.5975</v>
      </c>
      <c r="T98" s="19">
        <v>-28327830.5975</v>
      </c>
      <c r="U98" s="19">
        <v>107.2</v>
      </c>
      <c r="V98" s="19">
        <v>-165506.19749999882</v>
      </c>
      <c r="W98" s="19">
        <v>-165506.19749999882</v>
      </c>
      <c r="X98" s="19">
        <v>-28327830.5975</v>
      </c>
      <c r="Y98" s="19">
        <v>616409344.72084987</v>
      </c>
      <c r="Z98" s="19">
        <v>732952393.96990895</v>
      </c>
      <c r="AA98" s="4" t="s">
        <v>130</v>
      </c>
      <c r="AB98" s="4" t="s">
        <v>117</v>
      </c>
      <c r="AC98" s="4">
        <v>2.9000000000000001E-2</v>
      </c>
      <c r="AD98" s="19">
        <v>6567700</v>
      </c>
      <c r="AE98" s="4" t="s">
        <v>103</v>
      </c>
      <c r="AF98" s="4" t="s">
        <v>103</v>
      </c>
      <c r="AG98" s="4" t="s">
        <v>103</v>
      </c>
    </row>
    <row r="99" spans="1:33">
      <c r="A99" s="4">
        <v>45503</v>
      </c>
      <c r="B99" s="4" t="s">
        <v>292</v>
      </c>
      <c r="C99" s="4" t="s">
        <v>99</v>
      </c>
      <c r="D99" s="4" t="s">
        <v>100</v>
      </c>
      <c r="E99" s="4" t="s">
        <v>154</v>
      </c>
      <c r="F99" s="4" t="s">
        <v>102</v>
      </c>
      <c r="G99" s="4" t="s">
        <v>103</v>
      </c>
      <c r="H99" s="4" t="s">
        <v>100</v>
      </c>
      <c r="I99" s="4" t="s">
        <v>103</v>
      </c>
      <c r="J99" s="4" t="s">
        <v>105</v>
      </c>
      <c r="K99" s="4" t="s">
        <v>36</v>
      </c>
      <c r="L99" s="4" t="s">
        <v>155</v>
      </c>
      <c r="M99" s="4" t="s">
        <v>155</v>
      </c>
      <c r="N99" s="4" t="s">
        <v>107</v>
      </c>
      <c r="O99" s="4" t="s">
        <v>115</v>
      </c>
      <c r="P99" s="19">
        <v>96000</v>
      </c>
      <c r="Q99" s="19">
        <v>4.6500000000000004</v>
      </c>
      <c r="R99" s="19">
        <v>0.92</v>
      </c>
      <c r="S99" s="19">
        <v>446400.00000000006</v>
      </c>
      <c r="T99" s="19">
        <v>410688.00000000006</v>
      </c>
      <c r="U99" s="19">
        <v>4.2</v>
      </c>
      <c r="V99" s="19">
        <v>43200.000000000015</v>
      </c>
      <c r="W99" s="19">
        <v>39744.000000000015</v>
      </c>
      <c r="X99" s="19">
        <v>410688.00000000006</v>
      </c>
      <c r="Y99" s="19">
        <v>567096597.14318192</v>
      </c>
      <c r="Z99" s="19">
        <v>732952393.96990895</v>
      </c>
      <c r="AA99" s="4" t="s">
        <v>116</v>
      </c>
      <c r="AB99" s="4" t="s">
        <v>117</v>
      </c>
      <c r="AC99" s="4" t="s">
        <v>103</v>
      </c>
      <c r="AD99" s="19" t="s">
        <v>103</v>
      </c>
      <c r="AE99" s="4" t="s">
        <v>103</v>
      </c>
      <c r="AF99" s="4" t="s">
        <v>103</v>
      </c>
      <c r="AG99" s="4" t="s">
        <v>103</v>
      </c>
    </row>
    <row r="100" spans="1:33">
      <c r="A100" s="4">
        <v>45503</v>
      </c>
      <c r="B100" s="4" t="s">
        <v>292</v>
      </c>
      <c r="C100" s="4" t="s">
        <v>99</v>
      </c>
      <c r="D100" s="4" t="s">
        <v>100</v>
      </c>
      <c r="E100" s="4" t="s">
        <v>156</v>
      </c>
      <c r="F100" s="4" t="s">
        <v>102</v>
      </c>
      <c r="G100" s="4" t="s">
        <v>157</v>
      </c>
      <c r="H100" s="4" t="s">
        <v>113</v>
      </c>
      <c r="I100" s="4">
        <v>45709</v>
      </c>
      <c r="J100" s="4" t="s">
        <v>147</v>
      </c>
      <c r="K100" s="4" t="s">
        <v>148</v>
      </c>
      <c r="L100" s="4" t="s">
        <v>28</v>
      </c>
      <c r="M100" s="4" t="s">
        <v>28</v>
      </c>
      <c r="N100" s="4" t="s">
        <v>103</v>
      </c>
      <c r="O100" s="4" t="s">
        <v>115</v>
      </c>
      <c r="P100" s="19">
        <v>7655432</v>
      </c>
      <c r="Q100" s="19">
        <v>42.76</v>
      </c>
      <c r="R100" s="19">
        <v>0.92</v>
      </c>
      <c r="S100" s="19">
        <v>154639.72639999969</v>
      </c>
      <c r="T100" s="19">
        <v>142268.54828799973</v>
      </c>
      <c r="U100" s="19">
        <v>40.74</v>
      </c>
      <c r="V100" s="19">
        <v>154639.72639999969</v>
      </c>
      <c r="W100" s="19">
        <v>142268.54828799973</v>
      </c>
      <c r="X100" s="19">
        <v>301158570.53439999</v>
      </c>
      <c r="Y100" s="19">
        <v>567096597.14318192</v>
      </c>
      <c r="Z100" s="19">
        <v>732952393.96990895</v>
      </c>
      <c r="AA100" s="4" t="s">
        <v>130</v>
      </c>
      <c r="AB100" s="4" t="s">
        <v>117</v>
      </c>
      <c r="AC100" s="4">
        <v>4.3999999999999997E-2</v>
      </c>
      <c r="AD100" s="19" t="s">
        <v>103</v>
      </c>
      <c r="AE100" s="4" t="s">
        <v>158</v>
      </c>
      <c r="AF100" s="4" t="s">
        <v>125</v>
      </c>
      <c r="AG100" s="4" t="s">
        <v>159</v>
      </c>
    </row>
    <row r="101" spans="1:33">
      <c r="A101" s="4">
        <v>45503</v>
      </c>
      <c r="B101" s="4" t="s">
        <v>292</v>
      </c>
      <c r="C101" s="4" t="s">
        <v>99</v>
      </c>
      <c r="D101" s="4" t="s">
        <v>100</v>
      </c>
      <c r="E101" s="4" t="s">
        <v>160</v>
      </c>
      <c r="F101" s="4" t="s">
        <v>102</v>
      </c>
      <c r="G101" s="4" t="s">
        <v>103</v>
      </c>
      <c r="H101" s="4" t="s">
        <v>113</v>
      </c>
      <c r="I101" s="4">
        <v>46295</v>
      </c>
      <c r="J101" s="4" t="s">
        <v>125</v>
      </c>
      <c r="K101" s="4" t="s">
        <v>126</v>
      </c>
      <c r="L101" s="4" t="s">
        <v>161</v>
      </c>
      <c r="M101" s="4" t="s">
        <v>161</v>
      </c>
      <c r="N101" s="4" t="s">
        <v>107</v>
      </c>
      <c r="O101" s="4" t="s">
        <v>115</v>
      </c>
      <c r="P101" s="19">
        <v>265431.25</v>
      </c>
      <c r="Q101" s="19">
        <v>109.23</v>
      </c>
      <c r="R101" s="19">
        <v>0.92</v>
      </c>
      <c r="S101" s="19">
        <v>28993055.4375</v>
      </c>
      <c r="T101" s="19">
        <v>26673611.002500001</v>
      </c>
      <c r="U101" s="19">
        <v>109.4</v>
      </c>
      <c r="V101" s="19">
        <v>-45123.312500000451</v>
      </c>
      <c r="W101" s="19">
        <v>-41513.447500000417</v>
      </c>
      <c r="X101" s="19">
        <v>26673611.002500001</v>
      </c>
      <c r="Y101" s="19">
        <v>567096597.14318192</v>
      </c>
      <c r="Z101" s="19">
        <v>732952393.96990895</v>
      </c>
      <c r="AA101" s="4" t="s">
        <v>116</v>
      </c>
      <c r="AB101" s="4" t="s">
        <v>117</v>
      </c>
      <c r="AC101" s="4">
        <v>4.4999999999999998E-2</v>
      </c>
      <c r="AD101" s="19">
        <v>8538000</v>
      </c>
      <c r="AE101" s="4" t="s">
        <v>103</v>
      </c>
      <c r="AF101" s="4" t="s">
        <v>103</v>
      </c>
      <c r="AG101" s="4" t="s">
        <v>103</v>
      </c>
    </row>
    <row r="102" spans="1:33">
      <c r="A102" s="4">
        <v>45503</v>
      </c>
      <c r="B102" s="4" t="s">
        <v>292</v>
      </c>
      <c r="C102" s="4" t="s">
        <v>99</v>
      </c>
      <c r="D102" s="4" t="s">
        <v>100</v>
      </c>
      <c r="E102" s="4" t="s">
        <v>162</v>
      </c>
      <c r="F102" s="4" t="s">
        <v>112</v>
      </c>
      <c r="G102" s="4" t="s">
        <v>163</v>
      </c>
      <c r="H102" s="4" t="s">
        <v>113</v>
      </c>
      <c r="I102" s="4">
        <v>45562</v>
      </c>
      <c r="J102" s="4" t="s">
        <v>164</v>
      </c>
      <c r="K102" s="4" t="s">
        <v>37</v>
      </c>
      <c r="L102" s="4" t="s">
        <v>165</v>
      </c>
      <c r="M102" s="4" t="s">
        <v>166</v>
      </c>
      <c r="N102" s="4" t="s">
        <v>103</v>
      </c>
      <c r="O102" s="4" t="s">
        <v>115</v>
      </c>
      <c r="P102" s="19">
        <v>2767113.75</v>
      </c>
      <c r="Q102" s="19">
        <v>2.4</v>
      </c>
      <c r="R102" s="19">
        <v>0.92</v>
      </c>
      <c r="S102" s="19">
        <v>6641073</v>
      </c>
      <c r="T102" s="19">
        <v>6109787.1600000001</v>
      </c>
      <c r="U102" s="19">
        <v>2.1</v>
      </c>
      <c r="V102" s="19">
        <v>830134.12499999953</v>
      </c>
      <c r="W102" s="19">
        <v>763723.39499999955</v>
      </c>
      <c r="X102" s="19">
        <v>6109787.1600000001</v>
      </c>
      <c r="Y102" s="19">
        <v>567096597.14318192</v>
      </c>
      <c r="Z102" s="19">
        <v>732952393.96990895</v>
      </c>
      <c r="AA102" s="4" t="s">
        <v>116</v>
      </c>
      <c r="AB102" s="4" t="s">
        <v>117</v>
      </c>
      <c r="AC102" s="4" t="s">
        <v>103</v>
      </c>
      <c r="AD102" s="19" t="s">
        <v>103</v>
      </c>
      <c r="AE102" s="4" t="s">
        <v>167</v>
      </c>
      <c r="AF102" s="4" t="s">
        <v>105</v>
      </c>
      <c r="AG102" s="4" t="s">
        <v>33</v>
      </c>
    </row>
    <row r="103" spans="1:33">
      <c r="A103" s="4">
        <v>45503</v>
      </c>
      <c r="B103" s="4" t="s">
        <v>292</v>
      </c>
      <c r="C103" s="4" t="s">
        <v>99</v>
      </c>
      <c r="D103" s="4" t="s">
        <v>100</v>
      </c>
      <c r="E103" s="4" t="s">
        <v>168</v>
      </c>
      <c r="F103" s="4" t="s">
        <v>102</v>
      </c>
      <c r="G103" s="4" t="s">
        <v>103</v>
      </c>
      <c r="H103" s="4" t="s">
        <v>169</v>
      </c>
      <c r="I103" s="4" t="s">
        <v>103</v>
      </c>
      <c r="J103" s="4" t="s">
        <v>105</v>
      </c>
      <c r="K103" s="4" t="s">
        <v>33</v>
      </c>
      <c r="L103" s="4" t="s">
        <v>170</v>
      </c>
      <c r="M103" s="4" t="s">
        <v>170</v>
      </c>
      <c r="N103" s="4" t="s">
        <v>107</v>
      </c>
      <c r="O103" s="4" t="s">
        <v>153</v>
      </c>
      <c r="P103" s="19">
        <v>19218.2</v>
      </c>
      <c r="Q103" s="19">
        <v>76.400000000000006</v>
      </c>
      <c r="R103" s="19">
        <v>1.1499999999999999</v>
      </c>
      <c r="S103" s="19">
        <v>1468270.4800000002</v>
      </c>
      <c r="T103" s="19">
        <v>1688511.0520000001</v>
      </c>
      <c r="U103" s="19">
        <v>73.11</v>
      </c>
      <c r="V103" s="19">
        <v>63227.878000000121</v>
      </c>
      <c r="W103" s="19">
        <v>72712.059700000129</v>
      </c>
      <c r="X103" s="19">
        <v>1688511.0520000001</v>
      </c>
      <c r="Y103" s="19">
        <v>708870746.42897725</v>
      </c>
      <c r="Z103" s="19">
        <v>732952393.96990895</v>
      </c>
      <c r="AA103" s="4" t="s">
        <v>130</v>
      </c>
      <c r="AB103" s="4" t="s">
        <v>117</v>
      </c>
      <c r="AC103" s="4" t="s">
        <v>103</v>
      </c>
      <c r="AD103" s="19" t="s">
        <v>103</v>
      </c>
      <c r="AE103" s="4" t="s">
        <v>103</v>
      </c>
      <c r="AF103" s="4" t="s">
        <v>103</v>
      </c>
      <c r="AG103" s="4" t="s">
        <v>103</v>
      </c>
    </row>
    <row r="104" spans="1:33">
      <c r="A104" s="4">
        <v>45503</v>
      </c>
      <c r="B104" s="4" t="s">
        <v>292</v>
      </c>
      <c r="C104" s="4" t="s">
        <v>99</v>
      </c>
      <c r="D104" s="4" t="s">
        <v>100</v>
      </c>
      <c r="E104" s="4" t="s">
        <v>171</v>
      </c>
      <c r="F104" s="4" t="s">
        <v>102</v>
      </c>
      <c r="G104" s="4" t="s">
        <v>172</v>
      </c>
      <c r="H104" s="4" t="s">
        <v>113</v>
      </c>
      <c r="I104" s="4">
        <v>45562</v>
      </c>
      <c r="J104" s="4" t="s">
        <v>164</v>
      </c>
      <c r="K104" s="4" t="s">
        <v>41</v>
      </c>
      <c r="L104" s="4" t="s">
        <v>173</v>
      </c>
      <c r="M104" s="4" t="s">
        <v>173</v>
      </c>
      <c r="N104" s="4" t="s">
        <v>103</v>
      </c>
      <c r="O104" s="4" t="s">
        <v>115</v>
      </c>
      <c r="P104" s="19">
        <v>2465433.5</v>
      </c>
      <c r="Q104" s="19">
        <v>3.5</v>
      </c>
      <c r="R104" s="19">
        <v>0.92</v>
      </c>
      <c r="S104" s="19">
        <v>8629017.25</v>
      </c>
      <c r="T104" s="19">
        <v>7938695.8700000001</v>
      </c>
      <c r="U104" s="19">
        <v>3.1</v>
      </c>
      <c r="V104" s="19">
        <v>986173.39999999979</v>
      </c>
      <c r="W104" s="19">
        <v>907279.52799999982</v>
      </c>
      <c r="X104" s="19">
        <v>7938695.8700000001</v>
      </c>
      <c r="Y104" s="19">
        <v>567096597.14318192</v>
      </c>
      <c r="Z104" s="19">
        <v>732952393.96990895</v>
      </c>
      <c r="AA104" s="4" t="s">
        <v>116</v>
      </c>
      <c r="AB104" s="4" t="s">
        <v>117</v>
      </c>
      <c r="AC104" s="4" t="s">
        <v>103</v>
      </c>
      <c r="AD104" s="19" t="s">
        <v>103</v>
      </c>
      <c r="AE104" s="4" t="s">
        <v>173</v>
      </c>
      <c r="AF104" s="4" t="s">
        <v>174</v>
      </c>
      <c r="AG104" s="4" t="s">
        <v>175</v>
      </c>
    </row>
    <row r="105" spans="1:33">
      <c r="A105" s="4">
        <v>45503</v>
      </c>
      <c r="B105" s="4" t="s">
        <v>292</v>
      </c>
      <c r="C105" s="4" t="s">
        <v>99</v>
      </c>
      <c r="D105" s="4" t="s">
        <v>100</v>
      </c>
      <c r="E105" s="4" t="s">
        <v>176</v>
      </c>
      <c r="F105" s="4" t="s">
        <v>112</v>
      </c>
      <c r="G105" s="4" t="s">
        <v>103</v>
      </c>
      <c r="H105" s="4" t="s">
        <v>100</v>
      </c>
      <c r="I105" s="4" t="s">
        <v>103</v>
      </c>
      <c r="J105" s="4" t="s">
        <v>105</v>
      </c>
      <c r="K105" s="4" t="s">
        <v>33</v>
      </c>
      <c r="L105" s="4" t="s">
        <v>177</v>
      </c>
      <c r="M105" s="4" t="s">
        <v>178</v>
      </c>
      <c r="N105" s="4" t="s">
        <v>107</v>
      </c>
      <c r="O105" s="4" t="s">
        <v>143</v>
      </c>
      <c r="P105" s="19">
        <v>-27050</v>
      </c>
      <c r="Q105" s="19">
        <v>349.53</v>
      </c>
      <c r="R105" s="19">
        <v>1</v>
      </c>
      <c r="S105" s="19">
        <v>-9454786.5</v>
      </c>
      <c r="T105" s="19">
        <v>-9454786.5</v>
      </c>
      <c r="U105" s="19">
        <v>354.2</v>
      </c>
      <c r="V105" s="19">
        <v>126323.50000000044</v>
      </c>
      <c r="W105" s="19">
        <v>126323.50000000044</v>
      </c>
      <c r="X105" s="19">
        <v>-9454786.5</v>
      </c>
      <c r="Y105" s="19">
        <v>616409344.72084987</v>
      </c>
      <c r="Z105" s="19">
        <v>732952393.96990895</v>
      </c>
      <c r="AA105" s="4" t="s">
        <v>130</v>
      </c>
      <c r="AB105" s="4" t="s">
        <v>117</v>
      </c>
      <c r="AC105" s="4" t="s">
        <v>103</v>
      </c>
      <c r="AD105" s="19" t="s">
        <v>103</v>
      </c>
      <c r="AE105" s="4" t="s">
        <v>103</v>
      </c>
      <c r="AF105" s="4" t="s">
        <v>103</v>
      </c>
      <c r="AG105" s="4" t="s">
        <v>103</v>
      </c>
    </row>
    <row r="106" spans="1:33">
      <c r="A106" s="4">
        <v>45503</v>
      </c>
      <c r="B106" s="4" t="s">
        <v>292</v>
      </c>
      <c r="C106" s="4" t="s">
        <v>99</v>
      </c>
      <c r="D106" s="4" t="s">
        <v>100</v>
      </c>
      <c r="E106" s="4" t="s">
        <v>179</v>
      </c>
      <c r="F106" s="4" t="s">
        <v>102</v>
      </c>
      <c r="G106" s="4" t="s">
        <v>103</v>
      </c>
      <c r="H106" s="4" t="s">
        <v>113</v>
      </c>
      <c r="I106" s="4" t="s">
        <v>103</v>
      </c>
      <c r="J106" s="4" t="s">
        <v>105</v>
      </c>
      <c r="K106" s="4" t="s">
        <v>33</v>
      </c>
      <c r="L106" s="4" t="s">
        <v>180</v>
      </c>
      <c r="M106" s="4" t="s">
        <v>180</v>
      </c>
      <c r="N106" s="4" t="s">
        <v>107</v>
      </c>
      <c r="O106" s="4" t="s">
        <v>115</v>
      </c>
      <c r="P106" s="19">
        <v>22402</v>
      </c>
      <c r="Q106" s="19">
        <v>220.1</v>
      </c>
      <c r="R106" s="19">
        <v>0.92</v>
      </c>
      <c r="S106" s="19">
        <v>4930680.2</v>
      </c>
      <c r="T106" s="19">
        <v>4536225.784</v>
      </c>
      <c r="U106" s="19">
        <v>488.1</v>
      </c>
      <c r="V106" s="19">
        <v>-6003736</v>
      </c>
      <c r="W106" s="19">
        <v>-5523437.1200000001</v>
      </c>
      <c r="X106" s="19">
        <v>4536225.784</v>
      </c>
      <c r="Y106" s="19">
        <v>567096597.14318192</v>
      </c>
      <c r="Z106" s="19">
        <v>732952393.96990895</v>
      </c>
      <c r="AA106" s="4" t="s">
        <v>116</v>
      </c>
      <c r="AB106" s="4" t="s">
        <v>117</v>
      </c>
      <c r="AC106" s="4" t="s">
        <v>103</v>
      </c>
      <c r="AD106" s="19" t="s">
        <v>103</v>
      </c>
      <c r="AE106" s="4" t="s">
        <v>103</v>
      </c>
      <c r="AF106" s="4" t="s">
        <v>103</v>
      </c>
      <c r="AG106" s="4" t="s">
        <v>103</v>
      </c>
    </row>
    <row r="107" spans="1:33">
      <c r="A107" s="4">
        <v>45503</v>
      </c>
      <c r="B107" s="4" t="s">
        <v>292</v>
      </c>
      <c r="C107" s="4" t="s">
        <v>99</v>
      </c>
      <c r="D107" s="4" t="s">
        <v>100</v>
      </c>
      <c r="E107" s="4" t="s">
        <v>181</v>
      </c>
      <c r="F107" s="4" t="s">
        <v>102</v>
      </c>
      <c r="G107" s="4" t="s">
        <v>103</v>
      </c>
      <c r="H107" s="4" t="s">
        <v>169</v>
      </c>
      <c r="I107" s="4" t="s">
        <v>103</v>
      </c>
      <c r="J107" s="4" t="s">
        <v>105</v>
      </c>
      <c r="K107" s="4" t="s">
        <v>33</v>
      </c>
      <c r="L107" s="4" t="s">
        <v>182</v>
      </c>
      <c r="M107" s="4" t="s">
        <v>182</v>
      </c>
      <c r="N107" s="4" t="s">
        <v>107</v>
      </c>
      <c r="O107" s="4" t="s">
        <v>153</v>
      </c>
      <c r="P107" s="19">
        <v>24583.200000000001</v>
      </c>
      <c r="Q107" s="19">
        <v>234.04</v>
      </c>
      <c r="R107" s="19">
        <v>1.1499999999999999</v>
      </c>
      <c r="S107" s="19">
        <v>5753452.1279999996</v>
      </c>
      <c r="T107" s="19">
        <v>6616469.9471999994</v>
      </c>
      <c r="U107" s="19">
        <v>240.09</v>
      </c>
      <c r="V107" s="19">
        <v>-148728.36000000028</v>
      </c>
      <c r="W107" s="19">
        <v>-171037.61400000029</v>
      </c>
      <c r="X107" s="19">
        <v>6616469.9471999994</v>
      </c>
      <c r="Y107" s="19">
        <v>708870746.42897725</v>
      </c>
      <c r="Z107" s="19">
        <v>732952393.96990895</v>
      </c>
      <c r="AA107" s="4" t="s">
        <v>130</v>
      </c>
      <c r="AB107" s="4" t="s">
        <v>117</v>
      </c>
      <c r="AC107" s="4" t="s">
        <v>103</v>
      </c>
      <c r="AD107" s="19" t="s">
        <v>103</v>
      </c>
      <c r="AE107" s="4" t="s">
        <v>103</v>
      </c>
      <c r="AF107" s="4" t="s">
        <v>103</v>
      </c>
      <c r="AG107" s="4" t="s">
        <v>103</v>
      </c>
    </row>
    <row r="108" spans="1:33">
      <c r="A108" s="4">
        <v>45503</v>
      </c>
      <c r="B108" s="4" t="s">
        <v>292</v>
      </c>
      <c r="C108" s="4" t="s">
        <v>99</v>
      </c>
      <c r="D108" s="4" t="s">
        <v>100</v>
      </c>
      <c r="E108" s="4" t="s">
        <v>183</v>
      </c>
      <c r="F108" s="4" t="s">
        <v>102</v>
      </c>
      <c r="G108" s="4" t="s">
        <v>157</v>
      </c>
      <c r="H108" s="4" t="s">
        <v>113</v>
      </c>
      <c r="I108" s="4">
        <v>45565</v>
      </c>
      <c r="J108" s="4" t="s">
        <v>147</v>
      </c>
      <c r="K108" s="4" t="s">
        <v>41</v>
      </c>
      <c r="L108" s="4" t="s">
        <v>28</v>
      </c>
      <c r="M108" s="4" t="s">
        <v>28</v>
      </c>
      <c r="N108" s="4" t="s">
        <v>103</v>
      </c>
      <c r="O108" s="4" t="s">
        <v>115</v>
      </c>
      <c r="P108" s="19">
        <v>8000.75</v>
      </c>
      <c r="Q108" s="19">
        <v>59.23</v>
      </c>
      <c r="R108" s="19">
        <v>0.92</v>
      </c>
      <c r="S108" s="19">
        <v>473884.42249999999</v>
      </c>
      <c r="T108" s="19">
        <v>435973.66869999998</v>
      </c>
      <c r="U108" s="19">
        <v>55.23</v>
      </c>
      <c r="V108" s="19">
        <v>32003</v>
      </c>
      <c r="W108" s="19">
        <v>29442.760000000002</v>
      </c>
      <c r="X108" s="19">
        <v>435973.66869999998</v>
      </c>
      <c r="Y108" s="19">
        <v>567096597.14318192</v>
      </c>
      <c r="Z108" s="19">
        <v>732952393.96990895</v>
      </c>
      <c r="AA108" s="4" t="s">
        <v>130</v>
      </c>
      <c r="AB108" s="4" t="s">
        <v>117</v>
      </c>
      <c r="AD108" s="19" t="s">
        <v>103</v>
      </c>
      <c r="AE108" s="4" t="s">
        <v>184</v>
      </c>
      <c r="AF108" s="4" t="s">
        <v>174</v>
      </c>
      <c r="AG108" s="4" t="s">
        <v>175</v>
      </c>
    </row>
    <row r="109" spans="1:33">
      <c r="A109" s="4">
        <v>45503</v>
      </c>
      <c r="B109" s="4" t="s">
        <v>292</v>
      </c>
      <c r="C109" s="4" t="s">
        <v>99</v>
      </c>
      <c r="D109" s="4" t="s">
        <v>100</v>
      </c>
      <c r="E109" s="4" t="s">
        <v>185</v>
      </c>
      <c r="F109" s="4" t="s">
        <v>102</v>
      </c>
      <c r="G109" s="4" t="s">
        <v>157</v>
      </c>
      <c r="H109" s="4" t="s">
        <v>186</v>
      </c>
      <c r="I109" s="4">
        <v>45596</v>
      </c>
      <c r="J109" s="4" t="s">
        <v>164</v>
      </c>
      <c r="K109" s="4" t="s">
        <v>37</v>
      </c>
      <c r="L109" s="4" t="s">
        <v>187</v>
      </c>
      <c r="M109" s="4" t="s">
        <v>187</v>
      </c>
      <c r="N109" s="4" t="s">
        <v>103</v>
      </c>
      <c r="O109" s="4" t="s">
        <v>188</v>
      </c>
      <c r="P109" s="19">
        <v>2351023.4</v>
      </c>
      <c r="Q109" s="19">
        <v>4.2</v>
      </c>
      <c r="R109" s="19">
        <v>1.18</v>
      </c>
      <c r="S109" s="19">
        <v>9874298.2799999993</v>
      </c>
      <c r="T109" s="19">
        <v>11651671.970399998</v>
      </c>
      <c r="U109" s="19">
        <v>3.7</v>
      </c>
      <c r="V109" s="19">
        <v>1175511.7</v>
      </c>
      <c r="W109" s="19">
        <v>1387103.8059999999</v>
      </c>
      <c r="X109" s="19">
        <v>11651671.970399998</v>
      </c>
      <c r="Y109" s="19">
        <v>727363026.77060282</v>
      </c>
      <c r="Z109" s="19">
        <v>732952393.96990895</v>
      </c>
      <c r="AA109" s="4" t="s">
        <v>109</v>
      </c>
      <c r="AB109" s="4" t="s">
        <v>110</v>
      </c>
      <c r="AC109" s="4" t="s">
        <v>103</v>
      </c>
      <c r="AD109" s="19" t="s">
        <v>103</v>
      </c>
      <c r="AE109" s="4" t="s">
        <v>189</v>
      </c>
      <c r="AF109" s="4" t="s">
        <v>174</v>
      </c>
      <c r="AG109" s="4" t="s">
        <v>175</v>
      </c>
    </row>
    <row r="110" spans="1:33">
      <c r="A110" s="4">
        <v>45503</v>
      </c>
      <c r="B110" s="4" t="s">
        <v>292</v>
      </c>
      <c r="C110" s="4" t="s">
        <v>99</v>
      </c>
      <c r="D110" s="4" t="s">
        <v>100</v>
      </c>
      <c r="E110" s="4" t="s">
        <v>190</v>
      </c>
      <c r="F110" s="4" t="s">
        <v>102</v>
      </c>
      <c r="G110" s="4" t="s">
        <v>191</v>
      </c>
      <c r="H110" s="4" t="s">
        <v>100</v>
      </c>
      <c r="I110" s="4">
        <v>45596</v>
      </c>
      <c r="J110" s="4" t="s">
        <v>192</v>
      </c>
      <c r="K110" s="4" t="s">
        <v>193</v>
      </c>
      <c r="L110" s="4" t="s">
        <v>194</v>
      </c>
      <c r="M110" s="4" t="s">
        <v>194</v>
      </c>
      <c r="N110" s="4" t="s">
        <v>103</v>
      </c>
      <c r="O110" s="4" t="s">
        <v>153</v>
      </c>
      <c r="P110" s="19">
        <v>1000</v>
      </c>
      <c r="Q110" s="19">
        <v>78.900000000000006</v>
      </c>
      <c r="R110" s="19">
        <v>1</v>
      </c>
      <c r="S110" s="19">
        <v>-99.999999999994316</v>
      </c>
      <c r="T110" s="19">
        <v>-99.999999999994316</v>
      </c>
      <c r="U110" s="19">
        <v>79</v>
      </c>
      <c r="V110" s="19">
        <v>-99.999999999994316</v>
      </c>
      <c r="W110" s="19">
        <v>-99.999999999994316</v>
      </c>
      <c r="X110" s="19">
        <v>78900</v>
      </c>
      <c r="Y110" s="19">
        <v>616409344.72084987</v>
      </c>
      <c r="Z110" s="19">
        <v>732952393.96990895</v>
      </c>
      <c r="AA110" s="4" t="s">
        <v>130</v>
      </c>
      <c r="AB110" s="4" t="s">
        <v>117</v>
      </c>
      <c r="AC110" s="4" t="s">
        <v>103</v>
      </c>
      <c r="AD110" s="19" t="s">
        <v>103</v>
      </c>
      <c r="AE110" s="4" t="s">
        <v>103</v>
      </c>
      <c r="AF110" s="4" t="s">
        <v>103</v>
      </c>
      <c r="AG110" s="4" t="s">
        <v>103</v>
      </c>
    </row>
    <row r="111" spans="1:33">
      <c r="A111" s="4">
        <v>45503</v>
      </c>
      <c r="B111" s="4" t="s">
        <v>292</v>
      </c>
      <c r="C111" s="4" t="s">
        <v>99</v>
      </c>
      <c r="D111" s="4" t="s">
        <v>100</v>
      </c>
      <c r="E111" s="4" t="s">
        <v>195</v>
      </c>
      <c r="F111" s="4" t="s">
        <v>102</v>
      </c>
      <c r="G111" s="4" t="s">
        <v>103</v>
      </c>
      <c r="H111" s="4" t="s">
        <v>100</v>
      </c>
      <c r="I111" s="4" t="s">
        <v>103</v>
      </c>
      <c r="J111" s="4" t="s">
        <v>105</v>
      </c>
      <c r="K111" s="4" t="s">
        <v>34</v>
      </c>
      <c r="L111" s="4" t="s">
        <v>196</v>
      </c>
      <c r="M111" s="4" t="s">
        <v>196</v>
      </c>
      <c r="N111" s="4" t="s">
        <v>107</v>
      </c>
      <c r="O111" s="4" t="s">
        <v>129</v>
      </c>
      <c r="P111" s="19">
        <v>248074.75</v>
      </c>
      <c r="Q111" s="19">
        <v>342.42</v>
      </c>
      <c r="R111" s="19">
        <v>1</v>
      </c>
      <c r="S111" s="19">
        <v>84945755.895000011</v>
      </c>
      <c r="T111" s="19">
        <v>84945755.895000011</v>
      </c>
      <c r="U111" s="19">
        <v>330.92</v>
      </c>
      <c r="V111" s="19">
        <v>2852859.625</v>
      </c>
      <c r="W111" s="19">
        <v>2852859.625</v>
      </c>
      <c r="X111" s="19">
        <v>84945755.895000011</v>
      </c>
      <c r="Y111" s="19">
        <v>616409344.72084987</v>
      </c>
      <c r="Z111" s="19">
        <v>732952393.96990895</v>
      </c>
      <c r="AA111" s="4" t="s">
        <v>130</v>
      </c>
      <c r="AB111" s="4" t="s">
        <v>117</v>
      </c>
      <c r="AC111" s="4" t="s">
        <v>103</v>
      </c>
      <c r="AD111" s="19" t="s">
        <v>103</v>
      </c>
      <c r="AE111" s="4" t="s">
        <v>197</v>
      </c>
      <c r="AF111" s="4" t="s">
        <v>105</v>
      </c>
      <c r="AG111" s="4" t="s">
        <v>33</v>
      </c>
    </row>
    <row r="112" spans="1:33">
      <c r="A112" s="4">
        <v>45503</v>
      </c>
      <c r="B112" s="4" t="s">
        <v>292</v>
      </c>
      <c r="C112" s="4" t="s">
        <v>99</v>
      </c>
      <c r="D112" s="4" t="s">
        <v>100</v>
      </c>
      <c r="E112" s="4" t="s">
        <v>198</v>
      </c>
      <c r="F112" s="4" t="s">
        <v>102</v>
      </c>
      <c r="G112" s="4" t="s">
        <v>103</v>
      </c>
      <c r="H112" s="4" t="s">
        <v>169</v>
      </c>
      <c r="I112" s="4" t="s">
        <v>103</v>
      </c>
      <c r="J112" s="4" t="s">
        <v>105</v>
      </c>
      <c r="K112" s="4" t="s">
        <v>34</v>
      </c>
      <c r="L112" s="4" t="s">
        <v>199</v>
      </c>
      <c r="M112" s="4" t="s">
        <v>199</v>
      </c>
      <c r="N112" s="4" t="s">
        <v>107</v>
      </c>
      <c r="O112" s="4" t="s">
        <v>153</v>
      </c>
      <c r="P112" s="19">
        <v>327052.25</v>
      </c>
      <c r="Q112" s="19">
        <v>285.26</v>
      </c>
      <c r="R112" s="19">
        <v>1.1499999999999999</v>
      </c>
      <c r="S112" s="19">
        <v>93294924.834999993</v>
      </c>
      <c r="T112" s="19">
        <v>107289163.56024998</v>
      </c>
      <c r="U112" s="19">
        <v>279.98</v>
      </c>
      <c r="V112" s="19">
        <v>1726835.879999991</v>
      </c>
      <c r="W112" s="19">
        <v>1985861.2619999896</v>
      </c>
      <c r="X112" s="19">
        <v>107289163.56025</v>
      </c>
      <c r="Y112" s="19">
        <v>708870746.42897725</v>
      </c>
      <c r="Z112" s="19">
        <v>732952393.96990895</v>
      </c>
      <c r="AA112" s="4" t="s">
        <v>130</v>
      </c>
      <c r="AB112" s="4" t="s">
        <v>117</v>
      </c>
      <c r="AC112" s="4" t="s">
        <v>103</v>
      </c>
      <c r="AD112" s="19" t="s">
        <v>103</v>
      </c>
      <c r="AE112" s="4" t="s">
        <v>200</v>
      </c>
      <c r="AF112" s="4" t="s">
        <v>105</v>
      </c>
      <c r="AG112" s="4" t="s">
        <v>33</v>
      </c>
    </row>
    <row r="113" spans="1:33">
      <c r="A113" s="4">
        <v>45503</v>
      </c>
      <c r="B113" s="4" t="s">
        <v>292</v>
      </c>
      <c r="C113" s="4" t="s">
        <v>99</v>
      </c>
      <c r="D113" s="4" t="s">
        <v>100</v>
      </c>
      <c r="E113" s="4" t="s">
        <v>201</v>
      </c>
      <c r="F113" s="4" t="s">
        <v>102</v>
      </c>
      <c r="G113" s="4" t="s">
        <v>202</v>
      </c>
      <c r="H113" s="4" t="s">
        <v>203</v>
      </c>
      <c r="I113" s="4">
        <v>45596</v>
      </c>
      <c r="J113" s="4" t="s">
        <v>147</v>
      </c>
      <c r="K113" s="4" t="s">
        <v>37</v>
      </c>
      <c r="L113" s="4" t="s">
        <v>28</v>
      </c>
      <c r="M113" s="4" t="s">
        <v>28</v>
      </c>
      <c r="N113" s="4" t="s">
        <v>103</v>
      </c>
      <c r="O113" s="4" t="s">
        <v>204</v>
      </c>
      <c r="P113" s="19">
        <v>302790.25</v>
      </c>
      <c r="Q113" s="19">
        <v>0.99</v>
      </c>
      <c r="R113" s="19">
        <v>0.13</v>
      </c>
      <c r="S113" s="19">
        <v>299762.34749999997</v>
      </c>
      <c r="T113" s="19">
        <v>38969.105174999997</v>
      </c>
      <c r="U113" s="19">
        <v>1.04</v>
      </c>
      <c r="V113" s="19">
        <v>-15139.512500000013</v>
      </c>
      <c r="W113" s="19">
        <v>-1968.1366250000019</v>
      </c>
      <c r="X113" s="19">
        <v>38969.105175000004</v>
      </c>
      <c r="Y113" s="19">
        <v>80133214.813710481</v>
      </c>
      <c r="Z113" s="19">
        <v>732952393.96990895</v>
      </c>
      <c r="AA113" s="4" t="s">
        <v>109</v>
      </c>
      <c r="AB113" s="4" t="s">
        <v>110</v>
      </c>
      <c r="AC113" s="4" t="s">
        <v>103</v>
      </c>
      <c r="AD113" s="19" t="s">
        <v>103</v>
      </c>
      <c r="AE113" s="4" t="s">
        <v>205</v>
      </c>
      <c r="AF113" s="4" t="s">
        <v>105</v>
      </c>
      <c r="AG113" s="4" t="s">
        <v>33</v>
      </c>
    </row>
    <row r="114" spans="1:33">
      <c r="A114" s="4">
        <v>45503</v>
      </c>
      <c r="B114" s="4" t="s">
        <v>292</v>
      </c>
      <c r="C114" s="4" t="s">
        <v>99</v>
      </c>
      <c r="D114" s="4" t="s">
        <v>100</v>
      </c>
      <c r="E114" s="4" t="s">
        <v>206</v>
      </c>
      <c r="F114" s="4" t="s">
        <v>102</v>
      </c>
      <c r="G114" s="4" t="s">
        <v>103</v>
      </c>
      <c r="H114" s="4" t="s">
        <v>113</v>
      </c>
      <c r="I114" s="4">
        <v>52748</v>
      </c>
      <c r="J114" s="4" t="s">
        <v>125</v>
      </c>
      <c r="K114" s="4" t="s">
        <v>132</v>
      </c>
      <c r="L114" s="4" t="s">
        <v>133</v>
      </c>
      <c r="M114" s="4" t="s">
        <v>134</v>
      </c>
      <c r="N114" s="4" t="s">
        <v>135</v>
      </c>
      <c r="O114" s="4" t="s">
        <v>115</v>
      </c>
      <c r="P114" s="19">
        <v>211078</v>
      </c>
      <c r="Q114" s="19">
        <v>97.88</v>
      </c>
      <c r="R114" s="19">
        <v>0.92</v>
      </c>
      <c r="S114" s="19">
        <v>20660314.640000001</v>
      </c>
      <c r="T114" s="19">
        <v>19007489.468800001</v>
      </c>
      <c r="U114" s="19">
        <v>199.87</v>
      </c>
      <c r="V114" s="19">
        <v>-21527845.220000003</v>
      </c>
      <c r="W114" s="19">
        <v>-19805617.602400005</v>
      </c>
      <c r="X114" s="19">
        <v>19007489.468800001</v>
      </c>
      <c r="Y114" s="19">
        <v>567096597.14318192</v>
      </c>
      <c r="Z114" s="19">
        <v>732952393.96990895</v>
      </c>
      <c r="AA114" s="4" t="s">
        <v>116</v>
      </c>
      <c r="AB114" s="4" t="s">
        <v>117</v>
      </c>
      <c r="AC114" s="4">
        <v>4.3999999999999997E-2</v>
      </c>
      <c r="AD114" s="19">
        <v>6830400</v>
      </c>
      <c r="AE114" s="4" t="s">
        <v>103</v>
      </c>
      <c r="AF114" s="4" t="s">
        <v>103</v>
      </c>
      <c r="AG114" s="4" t="s">
        <v>103</v>
      </c>
    </row>
    <row r="115" spans="1:33">
      <c r="A115" s="4">
        <v>45503</v>
      </c>
      <c r="B115" s="4" t="s">
        <v>292</v>
      </c>
      <c r="C115" s="4" t="s">
        <v>99</v>
      </c>
      <c r="D115" s="4" t="s">
        <v>100</v>
      </c>
      <c r="E115" s="4" t="s">
        <v>207</v>
      </c>
      <c r="F115" s="4" t="s">
        <v>102</v>
      </c>
      <c r="G115" s="4" t="s">
        <v>103</v>
      </c>
      <c r="H115" s="4" t="s">
        <v>100</v>
      </c>
      <c r="I115" s="4">
        <v>45831</v>
      </c>
      <c r="J115" s="4" t="s">
        <v>105</v>
      </c>
      <c r="K115" s="4" t="s">
        <v>35</v>
      </c>
      <c r="L115" s="4" t="s">
        <v>208</v>
      </c>
      <c r="M115" s="4" t="s">
        <v>209</v>
      </c>
      <c r="N115" s="4" t="s">
        <v>107</v>
      </c>
      <c r="O115" s="4" t="s">
        <v>210</v>
      </c>
      <c r="P115" s="19">
        <v>31762298.5</v>
      </c>
      <c r="Q115" s="19">
        <v>5.6000000000000001E-2</v>
      </c>
      <c r="R115" s="19">
        <v>1</v>
      </c>
      <c r="S115" s="19">
        <v>1778688.716</v>
      </c>
      <c r="T115" s="19">
        <v>1778688.716</v>
      </c>
      <c r="U115" s="19">
        <v>5.1999999999999998E-2</v>
      </c>
      <c r="V115" s="19">
        <v>127049.19400000012</v>
      </c>
      <c r="W115" s="19">
        <v>127049.19400000012</v>
      </c>
      <c r="X115" s="19">
        <v>1778688.716</v>
      </c>
      <c r="Y115" s="19">
        <v>616409344.72084987</v>
      </c>
      <c r="Z115" s="19">
        <v>732952393.96990895</v>
      </c>
      <c r="AA115" s="4" t="s">
        <v>130</v>
      </c>
      <c r="AB115" s="4" t="s">
        <v>117</v>
      </c>
      <c r="AC115" s="4" t="s">
        <v>103</v>
      </c>
      <c r="AD115" s="19" t="s">
        <v>103</v>
      </c>
      <c r="AE115" s="4" t="s">
        <v>211</v>
      </c>
      <c r="AF115" s="4" t="s">
        <v>105</v>
      </c>
      <c r="AG115" s="4" t="s">
        <v>33</v>
      </c>
    </row>
    <row r="116" spans="1:33">
      <c r="A116" s="4">
        <v>45503</v>
      </c>
      <c r="B116" s="4" t="s">
        <v>292</v>
      </c>
      <c r="C116" s="4" t="s">
        <v>99</v>
      </c>
      <c r="D116" s="4" t="s">
        <v>100</v>
      </c>
      <c r="E116" s="4" t="s">
        <v>212</v>
      </c>
      <c r="F116" s="4" t="s">
        <v>102</v>
      </c>
      <c r="G116" s="4" t="s">
        <v>103</v>
      </c>
      <c r="H116" s="4" t="s">
        <v>100</v>
      </c>
      <c r="I116" s="4">
        <v>46105</v>
      </c>
      <c r="J116" s="4" t="s">
        <v>105</v>
      </c>
      <c r="K116" s="4" t="s">
        <v>35</v>
      </c>
      <c r="L116" s="4" t="s">
        <v>213</v>
      </c>
      <c r="M116" s="4" t="s">
        <v>214</v>
      </c>
      <c r="N116" s="4" t="s">
        <v>107</v>
      </c>
      <c r="O116" s="4" t="s">
        <v>210</v>
      </c>
      <c r="P116" s="19">
        <v>13236155.5</v>
      </c>
      <c r="Q116" s="19">
        <v>0.06</v>
      </c>
      <c r="R116" s="19">
        <v>1</v>
      </c>
      <c r="S116" s="19">
        <v>794169.33</v>
      </c>
      <c r="T116" s="19">
        <v>794169.33</v>
      </c>
      <c r="U116" s="19">
        <v>5.5E-2</v>
      </c>
      <c r="V116" s="19">
        <v>66180.777499999967</v>
      </c>
      <c r="W116" s="19">
        <v>66180.777499999967</v>
      </c>
      <c r="X116" s="19">
        <v>794169.33</v>
      </c>
      <c r="Y116" s="19">
        <v>616409344.72084987</v>
      </c>
      <c r="Z116" s="19">
        <v>732952393.96990895</v>
      </c>
      <c r="AA116" s="4" t="s">
        <v>130</v>
      </c>
      <c r="AB116" s="4" t="s">
        <v>117</v>
      </c>
      <c r="AC116" s="4" t="s">
        <v>103</v>
      </c>
      <c r="AD116" s="19" t="s">
        <v>103</v>
      </c>
      <c r="AE116" s="4" t="s">
        <v>215</v>
      </c>
      <c r="AF116" s="4" t="s">
        <v>105</v>
      </c>
      <c r="AG116" s="4" t="s">
        <v>33</v>
      </c>
    </row>
    <row r="117" spans="1:33">
      <c r="A117" s="4">
        <v>45503</v>
      </c>
      <c r="B117" s="4" t="s">
        <v>292</v>
      </c>
      <c r="C117" s="4" t="s">
        <v>99</v>
      </c>
      <c r="D117" s="4" t="s">
        <v>100</v>
      </c>
      <c r="E117" s="4" t="s">
        <v>291</v>
      </c>
      <c r="F117" s="4" t="s">
        <v>102</v>
      </c>
      <c r="G117" s="4" t="s">
        <v>103</v>
      </c>
      <c r="H117" s="4" t="s">
        <v>113</v>
      </c>
      <c r="I117" s="4" t="s">
        <v>103</v>
      </c>
      <c r="J117" s="4" t="s">
        <v>105</v>
      </c>
      <c r="K117" s="4" t="s">
        <v>33</v>
      </c>
      <c r="L117" s="4" t="s">
        <v>216</v>
      </c>
      <c r="M117" s="4" t="s">
        <v>216</v>
      </c>
      <c r="N117" s="4" t="s">
        <v>107</v>
      </c>
      <c r="O117" s="4" t="s">
        <v>115</v>
      </c>
      <c r="P117" s="19">
        <v>17012</v>
      </c>
      <c r="Q117" s="19">
        <v>123.3</v>
      </c>
      <c r="R117" s="19">
        <v>0.92</v>
      </c>
      <c r="S117" s="19">
        <v>2097579.6</v>
      </c>
      <c r="T117" s="19">
        <v>1929773.2320000001</v>
      </c>
      <c r="U117" s="19">
        <v>589.02</v>
      </c>
      <c r="V117" s="19">
        <v>-7922828.6399999997</v>
      </c>
      <c r="W117" s="19">
        <v>-7289002.3487999998</v>
      </c>
      <c r="X117" s="19">
        <v>1929773.2320000001</v>
      </c>
      <c r="Y117" s="19">
        <v>567096597.14318192</v>
      </c>
      <c r="Z117" s="19">
        <v>732952393.96990895</v>
      </c>
      <c r="AA117" s="4" t="s">
        <v>116</v>
      </c>
      <c r="AB117" s="4" t="s">
        <v>117</v>
      </c>
      <c r="AC117" s="4" t="s">
        <v>103</v>
      </c>
      <c r="AD117" s="19" t="s">
        <v>103</v>
      </c>
      <c r="AE117" s="4" t="s">
        <v>103</v>
      </c>
      <c r="AF117" s="4" t="s">
        <v>103</v>
      </c>
      <c r="AG117" s="4" t="s">
        <v>103</v>
      </c>
    </row>
    <row r="118" spans="1:33">
      <c r="A118" s="4">
        <v>45503</v>
      </c>
      <c r="B118" s="4" t="s">
        <v>292</v>
      </c>
      <c r="C118" s="4" t="s">
        <v>99</v>
      </c>
      <c r="D118" s="4" t="s">
        <v>100</v>
      </c>
      <c r="E118" s="4" t="s">
        <v>217</v>
      </c>
      <c r="F118" s="4" t="s">
        <v>102</v>
      </c>
      <c r="G118" s="4" t="s">
        <v>163</v>
      </c>
      <c r="H118" s="4" t="s">
        <v>100</v>
      </c>
      <c r="I118" s="4">
        <v>50678</v>
      </c>
      <c r="J118" s="4" t="s">
        <v>125</v>
      </c>
      <c r="K118" s="4" t="s">
        <v>218</v>
      </c>
      <c r="L118" s="4" t="s">
        <v>219</v>
      </c>
      <c r="M118" s="4" t="s">
        <v>220</v>
      </c>
      <c r="N118" s="4" t="s">
        <v>107</v>
      </c>
      <c r="O118" s="4" t="s">
        <v>210</v>
      </c>
      <c r="P118" s="19">
        <v>1796136.5</v>
      </c>
      <c r="Q118" s="19">
        <v>100.4</v>
      </c>
      <c r="R118" s="19">
        <v>1</v>
      </c>
      <c r="S118" s="19">
        <v>1803321.0460000003</v>
      </c>
      <c r="T118" s="19">
        <v>1803321.0460000003</v>
      </c>
      <c r="U118" s="19">
        <v>100</v>
      </c>
      <c r="V118" s="19">
        <v>718454.60000001022</v>
      </c>
      <c r="W118" s="19">
        <v>718454.60000001022</v>
      </c>
      <c r="X118" s="19">
        <v>180332104.60000002</v>
      </c>
      <c r="Y118" s="19">
        <v>616409344.72084987</v>
      </c>
      <c r="Z118" s="19">
        <v>732952393.96990895</v>
      </c>
      <c r="AA118" s="4" t="s">
        <v>116</v>
      </c>
      <c r="AB118" s="4" t="s">
        <v>110</v>
      </c>
      <c r="AC118" s="4">
        <v>5.2999999999999999E-2</v>
      </c>
      <c r="AD118" s="19" t="s">
        <v>103</v>
      </c>
      <c r="AE118" s="4" t="s">
        <v>103</v>
      </c>
      <c r="AF118" s="4" t="s">
        <v>103</v>
      </c>
      <c r="AG118" s="4" t="s">
        <v>103</v>
      </c>
    </row>
    <row r="119" spans="1:33">
      <c r="A119" s="4">
        <v>45503</v>
      </c>
      <c r="B119" s="4" t="s">
        <v>292</v>
      </c>
      <c r="C119" s="4" t="s">
        <v>99</v>
      </c>
      <c r="D119" s="4" t="s">
        <v>100</v>
      </c>
      <c r="E119" s="4" t="s">
        <v>221</v>
      </c>
      <c r="F119" s="4" t="s">
        <v>102</v>
      </c>
      <c r="G119" s="4" t="s">
        <v>191</v>
      </c>
      <c r="H119" s="4" t="s">
        <v>100</v>
      </c>
      <c r="I119" s="4">
        <v>46721</v>
      </c>
      <c r="J119" s="4" t="s">
        <v>125</v>
      </c>
      <c r="K119" s="4" t="s">
        <v>218</v>
      </c>
      <c r="L119" s="4" t="s">
        <v>222</v>
      </c>
      <c r="M119" s="4" t="s">
        <v>223</v>
      </c>
      <c r="N119" s="4" t="s">
        <v>107</v>
      </c>
      <c r="O119" s="4" t="s">
        <v>224</v>
      </c>
      <c r="P119" s="19">
        <v>1595523.75</v>
      </c>
      <c r="Q119" s="19">
        <v>99.3</v>
      </c>
      <c r="R119" s="19">
        <v>1</v>
      </c>
      <c r="S119" s="19">
        <v>1584355.08375</v>
      </c>
      <c r="T119" s="19">
        <v>1584355.08375</v>
      </c>
      <c r="U119" s="19">
        <v>100</v>
      </c>
      <c r="V119" s="19">
        <v>-1116866.6250000044</v>
      </c>
      <c r="W119" s="19">
        <v>-1116866.6250000044</v>
      </c>
      <c r="X119" s="19">
        <v>158435508.375</v>
      </c>
      <c r="Y119" s="19">
        <v>616409344.72084987</v>
      </c>
      <c r="Z119" s="19">
        <v>732952393.96990895</v>
      </c>
      <c r="AA119" s="4" t="s">
        <v>109</v>
      </c>
      <c r="AB119" s="4" t="s">
        <v>117</v>
      </c>
      <c r="AC119" s="4">
        <v>4.5999999999999999E-2</v>
      </c>
      <c r="AD119" s="19" t="s">
        <v>103</v>
      </c>
      <c r="AE119" s="4" t="s">
        <v>103</v>
      </c>
      <c r="AF119" s="4" t="s">
        <v>103</v>
      </c>
      <c r="AG119" s="4" t="s">
        <v>103</v>
      </c>
    </row>
    <row r="120" spans="1:33">
      <c r="A120" s="4">
        <v>45503</v>
      </c>
      <c r="B120" s="4" t="s">
        <v>292</v>
      </c>
      <c r="C120" s="4" t="s">
        <v>99</v>
      </c>
      <c r="D120" s="4" t="s">
        <v>100</v>
      </c>
      <c r="E120" s="4" t="s">
        <v>225</v>
      </c>
      <c r="F120" s="4" t="s">
        <v>102</v>
      </c>
      <c r="G120" s="4" t="s">
        <v>103</v>
      </c>
      <c r="H120" s="4" t="s">
        <v>186</v>
      </c>
      <c r="I120" s="4">
        <v>49125</v>
      </c>
      <c r="J120" s="4" t="s">
        <v>125</v>
      </c>
      <c r="K120" s="4" t="s">
        <v>126</v>
      </c>
      <c r="L120" s="4" t="s">
        <v>226</v>
      </c>
      <c r="M120" s="4" t="s">
        <v>128</v>
      </c>
      <c r="N120" s="4" t="s">
        <v>107</v>
      </c>
      <c r="O120" s="4" t="s">
        <v>188</v>
      </c>
      <c r="P120" s="19">
        <v>309561</v>
      </c>
      <c r="Q120" s="19">
        <v>103.5</v>
      </c>
      <c r="R120" s="19">
        <v>1.18</v>
      </c>
      <c r="S120" s="19">
        <v>32039563.5</v>
      </c>
      <c r="T120" s="19">
        <v>37806684.93</v>
      </c>
      <c r="U120" s="19">
        <v>102.8</v>
      </c>
      <c r="V120" s="19">
        <v>216692.70000000088</v>
      </c>
      <c r="W120" s="19">
        <v>255697.38600000102</v>
      </c>
      <c r="X120" s="19">
        <v>37806684.93</v>
      </c>
      <c r="Y120" s="19">
        <v>727363026.77060282</v>
      </c>
      <c r="Z120" s="19">
        <v>732952393.96990895</v>
      </c>
      <c r="AA120" s="4" t="s">
        <v>130</v>
      </c>
      <c r="AB120" s="4" t="s">
        <v>117</v>
      </c>
      <c r="AC120" s="4">
        <v>4.3999999999999997E-2</v>
      </c>
      <c r="AD120" s="19">
        <v>54195500</v>
      </c>
      <c r="AE120" s="4" t="s">
        <v>103</v>
      </c>
      <c r="AF120" s="4" t="s">
        <v>103</v>
      </c>
      <c r="AG120" s="4" t="s">
        <v>103</v>
      </c>
    </row>
    <row r="121" spans="1:33">
      <c r="A121" s="4">
        <v>45503</v>
      </c>
      <c r="B121" s="4" t="s">
        <v>292</v>
      </c>
      <c r="C121" s="4" t="s">
        <v>99</v>
      </c>
      <c r="D121" s="4" t="s">
        <v>100</v>
      </c>
      <c r="E121" s="4" t="s">
        <v>227</v>
      </c>
      <c r="F121" s="4" t="s">
        <v>112</v>
      </c>
      <c r="G121" s="4" t="s">
        <v>103</v>
      </c>
      <c r="H121" s="4" t="s">
        <v>100</v>
      </c>
      <c r="I121" s="4">
        <v>47938</v>
      </c>
      <c r="J121" s="4" t="s">
        <v>125</v>
      </c>
      <c r="K121" s="4" t="s">
        <v>126</v>
      </c>
      <c r="L121" s="4" t="s">
        <v>228</v>
      </c>
      <c r="M121" s="4" t="s">
        <v>229</v>
      </c>
      <c r="N121" s="4" t="s">
        <v>107</v>
      </c>
      <c r="O121" s="4" t="s">
        <v>224</v>
      </c>
      <c r="P121" s="19">
        <v>-172303.25</v>
      </c>
      <c r="Q121" s="19">
        <v>98.01</v>
      </c>
      <c r="R121" s="19">
        <v>1</v>
      </c>
      <c r="S121" s="19">
        <v>-16887441.532500003</v>
      </c>
      <c r="T121" s="19">
        <v>-16887441.532500003</v>
      </c>
      <c r="U121" s="19">
        <v>99.6</v>
      </c>
      <c r="V121" s="19">
        <v>273962.16749999812</v>
      </c>
      <c r="W121" s="19">
        <v>273962.16749999812</v>
      </c>
      <c r="X121" s="19">
        <v>-16887441.532500003</v>
      </c>
      <c r="Y121" s="19">
        <v>616409344.72084987</v>
      </c>
      <c r="Z121" s="19">
        <v>732952393.96990895</v>
      </c>
      <c r="AA121" s="4" t="s">
        <v>130</v>
      </c>
      <c r="AB121" s="4" t="s">
        <v>117</v>
      </c>
      <c r="AC121" s="4">
        <v>4.5999999999999999E-2</v>
      </c>
      <c r="AD121" s="19">
        <v>2777830</v>
      </c>
      <c r="AE121" s="4" t="s">
        <v>103</v>
      </c>
      <c r="AF121" s="4" t="s">
        <v>103</v>
      </c>
      <c r="AG121" s="4" t="s">
        <v>103</v>
      </c>
    </row>
    <row r="122" spans="1:33">
      <c r="A122" s="4">
        <v>45503</v>
      </c>
      <c r="B122" s="4" t="s">
        <v>292</v>
      </c>
      <c r="C122" s="4" t="s">
        <v>99</v>
      </c>
      <c r="D122" s="4" t="s">
        <v>100</v>
      </c>
      <c r="E122" s="4" t="s">
        <v>230</v>
      </c>
      <c r="F122" s="4" t="s">
        <v>102</v>
      </c>
      <c r="G122" s="4" t="s">
        <v>103</v>
      </c>
      <c r="H122" s="4" t="s">
        <v>113</v>
      </c>
      <c r="I122" s="4">
        <v>48730</v>
      </c>
      <c r="J122" s="4" t="s">
        <v>125</v>
      </c>
      <c r="K122" s="4" t="s">
        <v>126</v>
      </c>
      <c r="L122" s="4" t="s">
        <v>231</v>
      </c>
      <c r="M122" s="4" t="s">
        <v>232</v>
      </c>
      <c r="N122" s="4" t="s">
        <v>107</v>
      </c>
      <c r="O122" s="4" t="s">
        <v>115</v>
      </c>
      <c r="P122" s="19">
        <v>272634.25</v>
      </c>
      <c r="Q122" s="19">
        <v>105.06</v>
      </c>
      <c r="R122" s="19">
        <v>0.92</v>
      </c>
      <c r="S122" s="19">
        <v>28642954.305</v>
      </c>
      <c r="T122" s="19">
        <v>26351517.9606</v>
      </c>
      <c r="U122" s="19">
        <v>104.9</v>
      </c>
      <c r="V122" s="19">
        <v>43621.479999999072</v>
      </c>
      <c r="W122" s="19">
        <v>40131.761599999147</v>
      </c>
      <c r="X122" s="19">
        <v>26351517.960600004</v>
      </c>
      <c r="Y122" s="19">
        <v>567096597.14318192</v>
      </c>
      <c r="Z122" s="19">
        <v>732952393.96990895</v>
      </c>
      <c r="AA122" s="4" t="s">
        <v>116</v>
      </c>
      <c r="AB122" s="4" t="s">
        <v>117</v>
      </c>
      <c r="AC122" s="4">
        <v>4.3999999999999997E-2</v>
      </c>
      <c r="AD122" s="19">
        <v>9534500</v>
      </c>
      <c r="AE122" s="4" t="s">
        <v>103</v>
      </c>
      <c r="AF122" s="4" t="s">
        <v>103</v>
      </c>
      <c r="AG122" s="4" t="s">
        <v>103</v>
      </c>
    </row>
    <row r="123" spans="1:33">
      <c r="A123" s="4">
        <v>45503</v>
      </c>
      <c r="B123" s="4" t="s">
        <v>292</v>
      </c>
      <c r="C123" s="4" t="s">
        <v>99</v>
      </c>
      <c r="D123" s="4" t="s">
        <v>100</v>
      </c>
      <c r="E123" s="4" t="s">
        <v>233</v>
      </c>
      <c r="F123" s="4" t="s">
        <v>102</v>
      </c>
      <c r="G123" s="4" t="s">
        <v>157</v>
      </c>
      <c r="H123" s="4" t="s">
        <v>100</v>
      </c>
      <c r="I123" s="4">
        <v>45621</v>
      </c>
      <c r="J123" s="4" t="s">
        <v>147</v>
      </c>
      <c r="K123" s="4" t="s">
        <v>234</v>
      </c>
      <c r="L123" s="4" t="s">
        <v>235</v>
      </c>
      <c r="M123" s="4" t="s">
        <v>236</v>
      </c>
      <c r="N123" s="4" t="s">
        <v>103</v>
      </c>
      <c r="O123" s="4" t="s">
        <v>224</v>
      </c>
      <c r="P123" s="19">
        <v>24469</v>
      </c>
      <c r="Q123" s="19">
        <v>1.24</v>
      </c>
      <c r="R123" s="19">
        <v>1</v>
      </c>
      <c r="S123" s="19">
        <v>30341.56</v>
      </c>
      <c r="T123" s="19">
        <v>30341.56</v>
      </c>
      <c r="U123" s="19">
        <v>1.26</v>
      </c>
      <c r="V123" s="19">
        <v>-489.38000000000045</v>
      </c>
      <c r="W123" s="19">
        <v>-489.38000000000045</v>
      </c>
      <c r="X123" s="19">
        <v>30341.56</v>
      </c>
      <c r="Y123" s="19">
        <v>616409344.72084987</v>
      </c>
      <c r="Z123" s="19">
        <v>732952393.96990895</v>
      </c>
      <c r="AA123" s="4" t="s">
        <v>116</v>
      </c>
      <c r="AB123" s="4" t="s">
        <v>117</v>
      </c>
      <c r="AC123" s="4" t="s">
        <v>103</v>
      </c>
      <c r="AD123" s="19" t="s">
        <v>103</v>
      </c>
      <c r="AE123" s="4" t="s">
        <v>237</v>
      </c>
      <c r="AF123" s="4" t="s">
        <v>105</v>
      </c>
      <c r="AG123" s="4" t="s">
        <v>33</v>
      </c>
    </row>
    <row r="124" spans="1:33">
      <c r="A124" s="4">
        <v>45503</v>
      </c>
      <c r="B124" s="4" t="s">
        <v>292</v>
      </c>
      <c r="C124" s="4" t="s">
        <v>99</v>
      </c>
      <c r="D124" s="4" t="s">
        <v>100</v>
      </c>
      <c r="E124" s="4" t="s">
        <v>238</v>
      </c>
      <c r="F124" s="4" t="s">
        <v>102</v>
      </c>
      <c r="G124" s="4" t="s">
        <v>239</v>
      </c>
      <c r="H124" s="4" t="s">
        <v>113</v>
      </c>
      <c r="I124" s="4">
        <v>45621</v>
      </c>
      <c r="J124" s="4" t="s">
        <v>147</v>
      </c>
      <c r="K124" s="4" t="s">
        <v>234</v>
      </c>
      <c r="L124" s="4" t="s">
        <v>240</v>
      </c>
      <c r="M124" s="4" t="s">
        <v>240</v>
      </c>
      <c r="N124" s="4" t="s">
        <v>103</v>
      </c>
      <c r="O124" s="4" t="s">
        <v>115</v>
      </c>
      <c r="P124" s="19">
        <v>284081</v>
      </c>
      <c r="Q124" s="19">
        <v>1.1000000000000001</v>
      </c>
      <c r="R124" s="19">
        <v>0.92</v>
      </c>
      <c r="S124" s="19">
        <v>312489.10000000003</v>
      </c>
      <c r="T124" s="19">
        <v>287489.97200000007</v>
      </c>
      <c r="U124" s="19">
        <v>0.1</v>
      </c>
      <c r="V124" s="19">
        <v>284081</v>
      </c>
      <c r="W124" s="19">
        <v>261354.52000000002</v>
      </c>
      <c r="X124" s="19">
        <v>287489.97200000007</v>
      </c>
      <c r="Y124" s="19">
        <v>567096597.14318192</v>
      </c>
      <c r="Z124" s="19">
        <v>732952393.96990895</v>
      </c>
      <c r="AA124" s="4" t="s">
        <v>109</v>
      </c>
      <c r="AB124" s="4" t="s">
        <v>110</v>
      </c>
      <c r="AC124" s="4" t="s">
        <v>103</v>
      </c>
      <c r="AD124" s="19" t="s">
        <v>103</v>
      </c>
      <c r="AE124" s="4" t="s">
        <v>240</v>
      </c>
      <c r="AF124" s="4" t="s">
        <v>105</v>
      </c>
      <c r="AG124" s="4" t="s">
        <v>33</v>
      </c>
    </row>
    <row r="125" spans="1:33">
      <c r="A125" s="4">
        <v>45503</v>
      </c>
      <c r="B125" s="4" t="s">
        <v>292</v>
      </c>
      <c r="C125" s="4" t="s">
        <v>99</v>
      </c>
      <c r="D125" s="4" t="s">
        <v>100</v>
      </c>
      <c r="E125" s="4" t="s">
        <v>241</v>
      </c>
      <c r="F125" s="4" t="s">
        <v>112</v>
      </c>
      <c r="G125" s="4" t="s">
        <v>172</v>
      </c>
      <c r="H125" s="4" t="s">
        <v>113</v>
      </c>
      <c r="I125" s="4" t="s">
        <v>103</v>
      </c>
      <c r="J125" s="4" t="s">
        <v>44</v>
      </c>
      <c r="K125" s="4" t="s">
        <v>242</v>
      </c>
      <c r="L125" s="4" t="s">
        <v>103</v>
      </c>
      <c r="M125" s="4" t="s">
        <v>103</v>
      </c>
      <c r="N125" s="4" t="s">
        <v>103</v>
      </c>
      <c r="O125" s="4" t="s">
        <v>115</v>
      </c>
      <c r="P125" s="19">
        <v>-4783889</v>
      </c>
      <c r="Q125" s="19">
        <v>1</v>
      </c>
      <c r="R125" s="19">
        <v>0.92</v>
      </c>
      <c r="S125" s="19">
        <v>-4783889</v>
      </c>
      <c r="T125" s="19">
        <v>-4401177.88</v>
      </c>
      <c r="U125" s="19">
        <v>1</v>
      </c>
      <c r="V125" s="19">
        <v>-4783889</v>
      </c>
      <c r="W125" s="19">
        <v>-4401177.88</v>
      </c>
      <c r="X125" s="19">
        <v>-4401177.88</v>
      </c>
      <c r="Y125" s="19">
        <v>567096597.14318192</v>
      </c>
      <c r="Z125" s="19">
        <v>732952393.96990895</v>
      </c>
      <c r="AA125" s="4" t="s">
        <v>116</v>
      </c>
      <c r="AB125" s="4" t="s">
        <v>117</v>
      </c>
      <c r="AC125" s="4" t="s">
        <v>103</v>
      </c>
      <c r="AD125" s="19" t="s">
        <v>103</v>
      </c>
      <c r="AE125" s="4" t="s">
        <v>103</v>
      </c>
      <c r="AF125" s="4" t="s">
        <v>103</v>
      </c>
      <c r="AG125" s="4" t="s">
        <v>103</v>
      </c>
    </row>
    <row r="126" spans="1:33">
      <c r="A126" s="4">
        <v>45503</v>
      </c>
      <c r="B126" s="4" t="s">
        <v>292</v>
      </c>
      <c r="C126" s="4" t="s">
        <v>99</v>
      </c>
      <c r="D126" s="4" t="s">
        <v>100</v>
      </c>
      <c r="E126" s="4" t="s">
        <v>243</v>
      </c>
      <c r="F126" s="4" t="s">
        <v>102</v>
      </c>
      <c r="G126" s="4" t="s">
        <v>244</v>
      </c>
      <c r="H126" s="4" t="s">
        <v>100</v>
      </c>
      <c r="I126" s="4" t="s">
        <v>103</v>
      </c>
      <c r="J126" s="4" t="s">
        <v>44</v>
      </c>
      <c r="K126" s="4" t="s">
        <v>242</v>
      </c>
      <c r="L126" s="4" t="s">
        <v>103</v>
      </c>
      <c r="M126" s="4" t="s">
        <v>103</v>
      </c>
      <c r="N126" s="4" t="s">
        <v>103</v>
      </c>
      <c r="O126" s="4" t="s">
        <v>245</v>
      </c>
      <c r="P126" s="19">
        <v>9677271</v>
      </c>
      <c r="Q126" s="19">
        <v>1</v>
      </c>
      <c r="R126" s="19">
        <v>1</v>
      </c>
      <c r="S126" s="19">
        <v>9677271</v>
      </c>
      <c r="T126" s="19">
        <v>9677271</v>
      </c>
      <c r="U126" s="19">
        <v>1</v>
      </c>
      <c r="V126" s="19">
        <v>9677271</v>
      </c>
      <c r="W126" s="19">
        <v>9677271</v>
      </c>
      <c r="X126" s="19">
        <v>9677271</v>
      </c>
      <c r="Y126" s="19">
        <v>616409344.72084987</v>
      </c>
      <c r="Z126" s="19">
        <v>732952393.96990895</v>
      </c>
      <c r="AA126" s="4" t="s">
        <v>116</v>
      </c>
      <c r="AB126" s="4" t="s">
        <v>117</v>
      </c>
      <c r="AC126" s="4" t="s">
        <v>103</v>
      </c>
      <c r="AD126" s="19" t="s">
        <v>103</v>
      </c>
      <c r="AE126" s="4" t="s">
        <v>103</v>
      </c>
      <c r="AF126" s="4" t="s">
        <v>103</v>
      </c>
      <c r="AG126" s="4" t="s">
        <v>103</v>
      </c>
    </row>
    <row r="127" spans="1:33">
      <c r="A127" s="4">
        <v>45503</v>
      </c>
      <c r="B127" s="4" t="s">
        <v>292</v>
      </c>
      <c r="C127" s="4" t="s">
        <v>99</v>
      </c>
      <c r="D127" s="4" t="s">
        <v>100</v>
      </c>
      <c r="E127" s="4" t="s">
        <v>241</v>
      </c>
      <c r="F127" s="4" t="s">
        <v>102</v>
      </c>
      <c r="G127" s="4" t="s">
        <v>244</v>
      </c>
      <c r="H127" s="4" t="s">
        <v>113</v>
      </c>
      <c r="I127" s="4" t="s">
        <v>103</v>
      </c>
      <c r="J127" s="4" t="s">
        <v>44</v>
      </c>
      <c r="K127" s="4" t="s">
        <v>242</v>
      </c>
      <c r="L127" s="4" t="s">
        <v>103</v>
      </c>
      <c r="M127" s="4" t="s">
        <v>103</v>
      </c>
      <c r="N127" s="4" t="s">
        <v>103</v>
      </c>
      <c r="O127" s="4" t="s">
        <v>245</v>
      </c>
      <c r="P127" s="19">
        <v>7741816.8000000007</v>
      </c>
      <c r="Q127" s="19">
        <v>1</v>
      </c>
      <c r="R127" s="19">
        <v>0.92</v>
      </c>
      <c r="S127" s="19">
        <v>7741816.8000000007</v>
      </c>
      <c r="T127" s="19">
        <v>7122471.4560000012</v>
      </c>
      <c r="U127" s="19">
        <v>1</v>
      </c>
      <c r="V127" s="19">
        <v>7741816.8000000007</v>
      </c>
      <c r="W127" s="19">
        <v>7122471.4560000012</v>
      </c>
      <c r="X127" s="19">
        <v>7122471.4560000012</v>
      </c>
      <c r="Y127" s="19">
        <v>567096597.14318192</v>
      </c>
      <c r="Z127" s="19">
        <v>732952393.96990895</v>
      </c>
      <c r="AA127" s="4" t="s">
        <v>116</v>
      </c>
      <c r="AB127" s="4" t="s">
        <v>117</v>
      </c>
      <c r="AC127" s="4" t="s">
        <v>103</v>
      </c>
      <c r="AD127" s="19" t="s">
        <v>103</v>
      </c>
      <c r="AE127" s="4" t="s">
        <v>103</v>
      </c>
      <c r="AF127" s="4" t="s">
        <v>103</v>
      </c>
      <c r="AG127" s="4" t="s">
        <v>103</v>
      </c>
    </row>
    <row r="128" spans="1:33">
      <c r="A128" s="4">
        <v>45503</v>
      </c>
      <c r="B128" s="4" t="s">
        <v>292</v>
      </c>
      <c r="C128" s="4" t="s">
        <v>99</v>
      </c>
      <c r="D128" s="4" t="s">
        <v>100</v>
      </c>
      <c r="E128" s="4" t="s">
        <v>243</v>
      </c>
      <c r="F128" s="4" t="s">
        <v>102</v>
      </c>
      <c r="G128" s="4" t="s">
        <v>246</v>
      </c>
      <c r="H128" s="4" t="s">
        <v>100</v>
      </c>
      <c r="I128" s="4" t="s">
        <v>103</v>
      </c>
      <c r="J128" s="4" t="s">
        <v>44</v>
      </c>
      <c r="K128" s="4" t="s">
        <v>242</v>
      </c>
      <c r="L128" s="4" t="s">
        <v>103</v>
      </c>
      <c r="M128" s="4" t="s">
        <v>103</v>
      </c>
      <c r="N128" s="4" t="s">
        <v>103</v>
      </c>
      <c r="O128" s="4" t="s">
        <v>153</v>
      </c>
      <c r="P128" s="19">
        <v>9193407.4499999993</v>
      </c>
      <c r="Q128" s="19">
        <v>1</v>
      </c>
      <c r="R128" s="19">
        <v>1</v>
      </c>
      <c r="S128" s="19">
        <v>9193407.4499999993</v>
      </c>
      <c r="T128" s="19">
        <v>9193407.4499999993</v>
      </c>
      <c r="U128" s="19">
        <v>1</v>
      </c>
      <c r="V128" s="19">
        <v>9193407.4499999993</v>
      </c>
      <c r="W128" s="19">
        <v>9193407.4499999993</v>
      </c>
      <c r="X128" s="19">
        <v>9193407.4499999993</v>
      </c>
      <c r="Y128" s="19">
        <v>616409344.72084987</v>
      </c>
      <c r="Z128" s="19">
        <v>732952393.96990895</v>
      </c>
      <c r="AA128" s="4" t="s">
        <v>116</v>
      </c>
      <c r="AB128" s="4" t="s">
        <v>117</v>
      </c>
      <c r="AC128" s="4" t="s">
        <v>103</v>
      </c>
      <c r="AD128" s="19" t="s">
        <v>103</v>
      </c>
      <c r="AE128" s="4" t="s">
        <v>103</v>
      </c>
      <c r="AF128" s="4" t="s">
        <v>103</v>
      </c>
      <c r="AG128" s="4" t="s">
        <v>103</v>
      </c>
    </row>
    <row r="129" spans="1:33">
      <c r="A129" s="4">
        <v>45503</v>
      </c>
      <c r="B129" s="4" t="s">
        <v>292</v>
      </c>
      <c r="C129" s="4" t="s">
        <v>99</v>
      </c>
      <c r="D129" s="4" t="s">
        <v>100</v>
      </c>
      <c r="E129" s="4" t="s">
        <v>247</v>
      </c>
      <c r="F129" s="4" t="s">
        <v>112</v>
      </c>
      <c r="G129" s="4" t="s">
        <v>172</v>
      </c>
      <c r="H129" s="4" t="s">
        <v>113</v>
      </c>
      <c r="I129" s="4">
        <v>45575</v>
      </c>
      <c r="J129" s="4" t="s">
        <v>248</v>
      </c>
      <c r="K129" s="4" t="s">
        <v>43</v>
      </c>
      <c r="L129" s="4" t="s">
        <v>103</v>
      </c>
      <c r="M129" s="4" t="s">
        <v>103</v>
      </c>
      <c r="N129" s="4" t="s">
        <v>103</v>
      </c>
      <c r="O129" s="4" t="s">
        <v>115</v>
      </c>
      <c r="P129" s="19">
        <v>-34760800</v>
      </c>
      <c r="Q129" s="19">
        <v>0.91200000000000003</v>
      </c>
      <c r="R129" s="19">
        <v>0.92</v>
      </c>
      <c r="S129" s="19">
        <v>-660455.20000000054</v>
      </c>
      <c r="T129" s="19">
        <v>-607618.78400000057</v>
      </c>
      <c r="U129" s="19">
        <v>0.89300000000000002</v>
      </c>
      <c r="V129" s="19">
        <v>-660455.20000000054</v>
      </c>
      <c r="W129" s="19">
        <v>-607618.78400000057</v>
      </c>
      <c r="X129" s="19">
        <v>-29165701.632000003</v>
      </c>
      <c r="Y129" s="19">
        <v>567096597.14318192</v>
      </c>
      <c r="Z129" s="19">
        <v>732952393.96990895</v>
      </c>
      <c r="AA129" s="4" t="s">
        <v>116</v>
      </c>
      <c r="AB129" s="4" t="s">
        <v>117</v>
      </c>
      <c r="AC129" s="4" t="s">
        <v>103</v>
      </c>
      <c r="AD129" s="19" t="s">
        <v>103</v>
      </c>
      <c r="AE129" s="4" t="s">
        <v>103</v>
      </c>
      <c r="AF129" s="4" t="s">
        <v>103</v>
      </c>
      <c r="AG129" s="4" t="s">
        <v>103</v>
      </c>
    </row>
    <row r="130" spans="1:33">
      <c r="A130" s="4">
        <v>45503</v>
      </c>
      <c r="B130" s="4" t="s">
        <v>292</v>
      </c>
      <c r="C130" s="4" t="s">
        <v>99</v>
      </c>
      <c r="D130" s="4" t="s">
        <v>100</v>
      </c>
      <c r="E130" s="4" t="s">
        <v>249</v>
      </c>
      <c r="F130" s="4" t="s">
        <v>102</v>
      </c>
      <c r="G130" s="4" t="s">
        <v>246</v>
      </c>
      <c r="H130" s="4" t="s">
        <v>137</v>
      </c>
      <c r="I130" s="4">
        <v>45561</v>
      </c>
      <c r="J130" s="4" t="s">
        <v>248</v>
      </c>
      <c r="K130" s="4" t="s">
        <v>43</v>
      </c>
      <c r="L130" s="4" t="s">
        <v>103</v>
      </c>
      <c r="M130" s="4" t="s">
        <v>103</v>
      </c>
      <c r="N130" s="4" t="s">
        <v>103</v>
      </c>
      <c r="O130" s="4" t="s">
        <v>153</v>
      </c>
      <c r="P130" s="19">
        <v>35472800</v>
      </c>
      <c r="Q130" s="19">
        <v>6.5000000000000002E-2</v>
      </c>
      <c r="R130" s="19">
        <v>6.2E-2</v>
      </c>
      <c r="S130" s="19">
        <v>-141891.20000000013</v>
      </c>
      <c r="T130" s="19">
        <v>-8797.2544000000071</v>
      </c>
      <c r="U130" s="19">
        <v>6.9000000000000006E-2</v>
      </c>
      <c r="V130" s="19">
        <v>-141891.20000000013</v>
      </c>
      <c r="W130" s="19">
        <v>-8797.2544000000071</v>
      </c>
      <c r="X130" s="19">
        <v>142955.38399999999</v>
      </c>
      <c r="Y130" s="19">
        <v>38217379.372692689</v>
      </c>
      <c r="Z130" s="19">
        <v>732952393.96990895</v>
      </c>
      <c r="AA130" s="4" t="s">
        <v>130</v>
      </c>
      <c r="AB130" s="4" t="s">
        <v>117</v>
      </c>
      <c r="AC130" s="4" t="s">
        <v>103</v>
      </c>
      <c r="AD130" s="19" t="s">
        <v>103</v>
      </c>
      <c r="AE130" s="4" t="s">
        <v>103</v>
      </c>
      <c r="AF130" s="4" t="s">
        <v>103</v>
      </c>
      <c r="AG130" s="4" t="s">
        <v>103</v>
      </c>
    </row>
    <row r="131" spans="1:33">
      <c r="A131" s="4">
        <v>45503</v>
      </c>
      <c r="B131" s="4" t="s">
        <v>292</v>
      </c>
      <c r="C131" s="4" t="s">
        <v>99</v>
      </c>
      <c r="D131" s="4" t="s">
        <v>100</v>
      </c>
      <c r="E131" s="4" t="s">
        <v>250</v>
      </c>
      <c r="F131" s="4" t="s">
        <v>102</v>
      </c>
      <c r="G131" s="4" t="s">
        <v>202</v>
      </c>
      <c r="H131" s="4" t="s">
        <v>203</v>
      </c>
      <c r="I131" s="4">
        <v>45559</v>
      </c>
      <c r="J131" s="4" t="s">
        <v>248</v>
      </c>
      <c r="K131" s="4" t="s">
        <v>43</v>
      </c>
      <c r="L131" s="4" t="s">
        <v>103</v>
      </c>
      <c r="M131" s="4" t="s">
        <v>103</v>
      </c>
      <c r="N131" s="4" t="s">
        <v>103</v>
      </c>
      <c r="O131" s="4" t="s">
        <v>245</v>
      </c>
      <c r="P131" s="19">
        <v>75399300</v>
      </c>
      <c r="Q131" s="19">
        <v>0.14000000000000001</v>
      </c>
      <c r="R131" s="19">
        <v>0.13</v>
      </c>
      <c r="S131" s="19">
        <v>753993.0000000007</v>
      </c>
      <c r="T131" s="19">
        <v>98019.090000000098</v>
      </c>
      <c r="U131" s="19">
        <v>0.13</v>
      </c>
      <c r="V131" s="19">
        <v>753993.0000000007</v>
      </c>
      <c r="W131" s="19">
        <v>98019.090000000098</v>
      </c>
      <c r="X131" s="19">
        <v>1372267.26</v>
      </c>
      <c r="Y131" s="19">
        <v>80133214.813710481</v>
      </c>
      <c r="Z131" s="19">
        <v>732952393.96990895</v>
      </c>
      <c r="AA131" s="4" t="s">
        <v>130</v>
      </c>
      <c r="AB131" s="4" t="s">
        <v>117</v>
      </c>
      <c r="AC131" s="4" t="s">
        <v>103</v>
      </c>
      <c r="AD131" s="19" t="s">
        <v>103</v>
      </c>
      <c r="AE131" s="4" t="s">
        <v>103</v>
      </c>
      <c r="AF131" s="4" t="s">
        <v>103</v>
      </c>
      <c r="AG131" s="4" t="s">
        <v>103</v>
      </c>
    </row>
    <row r="132" spans="1:33">
      <c r="A132" s="4">
        <v>45503</v>
      </c>
      <c r="B132" s="4" t="s">
        <v>292</v>
      </c>
      <c r="C132" s="4" t="s">
        <v>99</v>
      </c>
      <c r="D132" s="4" t="s">
        <v>100</v>
      </c>
      <c r="E132" s="4" t="s">
        <v>251</v>
      </c>
      <c r="F132" s="4" t="s">
        <v>102</v>
      </c>
      <c r="G132" s="4" t="s">
        <v>191</v>
      </c>
      <c r="H132" s="4" t="s">
        <v>169</v>
      </c>
      <c r="I132" s="4">
        <v>45589</v>
      </c>
      <c r="J132" s="4" t="s">
        <v>248</v>
      </c>
      <c r="K132" s="4" t="s">
        <v>43</v>
      </c>
      <c r="L132" s="4" t="s">
        <v>103</v>
      </c>
      <c r="M132" s="4" t="s">
        <v>103</v>
      </c>
      <c r="N132" s="4" t="s">
        <v>103</v>
      </c>
      <c r="O132" s="4" t="s">
        <v>245</v>
      </c>
      <c r="P132" s="19">
        <v>46574800</v>
      </c>
      <c r="Q132" s="19">
        <v>1.1100000000000001</v>
      </c>
      <c r="R132" s="19">
        <v>1.06</v>
      </c>
      <c r="S132" s="19">
        <v>1862992.0000000016</v>
      </c>
      <c r="T132" s="19">
        <v>1974771.5200000019</v>
      </c>
      <c r="U132" s="19">
        <v>1.07</v>
      </c>
      <c r="V132" s="19">
        <v>1862992.0000000016</v>
      </c>
      <c r="W132" s="19">
        <v>1974771.5200000019</v>
      </c>
      <c r="X132" s="19">
        <v>54799909.680000007</v>
      </c>
      <c r="Y132" s="19">
        <v>653393905.40410089</v>
      </c>
      <c r="Z132" s="19">
        <v>732952393.96990895</v>
      </c>
      <c r="AA132" s="4" t="s">
        <v>130</v>
      </c>
      <c r="AB132" s="4" t="s">
        <v>117</v>
      </c>
      <c r="AC132" s="4" t="s">
        <v>103</v>
      </c>
      <c r="AD132" s="19" t="s">
        <v>103</v>
      </c>
      <c r="AE132" s="4" t="s">
        <v>103</v>
      </c>
      <c r="AF132" s="4" t="s">
        <v>103</v>
      </c>
      <c r="AG132" s="4" t="s">
        <v>103</v>
      </c>
    </row>
    <row r="133" spans="1:33">
      <c r="A133" s="4">
        <v>45503</v>
      </c>
      <c r="B133" s="4" t="s">
        <v>292</v>
      </c>
      <c r="C133" s="4" t="s">
        <v>99</v>
      </c>
      <c r="D133" s="4" t="s">
        <v>100</v>
      </c>
      <c r="E133" s="4" t="s">
        <v>252</v>
      </c>
      <c r="F133" s="4" t="s">
        <v>102</v>
      </c>
      <c r="G133" s="4" t="s">
        <v>157</v>
      </c>
      <c r="H133" s="4" t="s">
        <v>100</v>
      </c>
      <c r="I133" s="4">
        <v>45565</v>
      </c>
      <c r="J133" s="4" t="s">
        <v>147</v>
      </c>
      <c r="K133" s="4" t="s">
        <v>148</v>
      </c>
      <c r="L133" s="4" t="s">
        <v>28</v>
      </c>
      <c r="M133" s="4" t="s">
        <v>28</v>
      </c>
      <c r="N133" s="4" t="s">
        <v>103</v>
      </c>
      <c r="O133" s="4" t="s">
        <v>224</v>
      </c>
      <c r="P133" s="19">
        <v>6540076</v>
      </c>
      <c r="Q133" s="19">
        <v>46.14</v>
      </c>
      <c r="R133" s="19">
        <v>1</v>
      </c>
      <c r="S133" s="19">
        <v>-7128682.8399999756</v>
      </c>
      <c r="T133" s="19">
        <v>-7128682.8399999756</v>
      </c>
      <c r="U133" s="19">
        <v>47.23</v>
      </c>
      <c r="V133" s="19">
        <v>-7128682.8399999756</v>
      </c>
      <c r="W133" s="19">
        <v>-7128682.8399999756</v>
      </c>
      <c r="X133" s="19">
        <v>301759106.63999999</v>
      </c>
      <c r="Y133" s="19">
        <v>616409344.72084987</v>
      </c>
      <c r="Z133" s="19">
        <v>732952393.96990895</v>
      </c>
      <c r="AA133" s="4" t="s">
        <v>130</v>
      </c>
      <c r="AB133" s="4" t="s">
        <v>117</v>
      </c>
      <c r="AC133" s="4">
        <v>3.9E-2</v>
      </c>
      <c r="AD133" s="19" t="s">
        <v>103</v>
      </c>
      <c r="AE133" s="4" t="s">
        <v>253</v>
      </c>
      <c r="AF133" s="4" t="s">
        <v>125</v>
      </c>
      <c r="AG133" s="4" t="s">
        <v>159</v>
      </c>
    </row>
    <row r="134" spans="1:33">
      <c r="A134" s="4">
        <v>45503</v>
      </c>
      <c r="B134" s="4" t="s">
        <v>293</v>
      </c>
      <c r="C134" s="4" t="s">
        <v>99</v>
      </c>
      <c r="D134" s="4" t="s">
        <v>100</v>
      </c>
      <c r="E134" s="4" t="s">
        <v>101</v>
      </c>
      <c r="F134" s="4" t="s">
        <v>102</v>
      </c>
      <c r="G134" s="4" t="s">
        <v>103</v>
      </c>
      <c r="H134" s="4" t="s">
        <v>104</v>
      </c>
      <c r="I134" s="4" t="s">
        <v>103</v>
      </c>
      <c r="J134" s="4" t="s">
        <v>105</v>
      </c>
      <c r="K134" s="4" t="s">
        <v>33</v>
      </c>
      <c r="L134" s="4" t="s">
        <v>106</v>
      </c>
      <c r="M134" s="4" t="s">
        <v>106</v>
      </c>
      <c r="N134" s="4" t="s">
        <v>107</v>
      </c>
      <c r="O134" s="4" t="s">
        <v>108</v>
      </c>
      <c r="P134" s="19">
        <v>430621</v>
      </c>
      <c r="Q134" s="19">
        <v>124.14</v>
      </c>
      <c r="R134" s="19">
        <v>0.12</v>
      </c>
      <c r="S134" s="19">
        <v>53457290.939999998</v>
      </c>
      <c r="T134" s="19">
        <v>6414874.9127999991</v>
      </c>
      <c r="U134" s="19">
        <v>110.12</v>
      </c>
      <c r="V134" s="19">
        <v>6037306.4199999981</v>
      </c>
      <c r="W134" s="19">
        <v>724476.77039999969</v>
      </c>
      <c r="X134" s="19">
        <v>6414874.9127999991</v>
      </c>
      <c r="Y134" s="19">
        <v>73969121.366501987</v>
      </c>
      <c r="Z134" s="19">
        <v>366476196.9849546</v>
      </c>
      <c r="AA134" s="4" t="s">
        <v>109</v>
      </c>
      <c r="AB134" s="4" t="s">
        <v>110</v>
      </c>
      <c r="AC134" s="4" t="s">
        <v>103</v>
      </c>
      <c r="AD134" s="19" t="s">
        <v>103</v>
      </c>
      <c r="AE134" s="4" t="s">
        <v>103</v>
      </c>
      <c r="AF134" s="4" t="s">
        <v>103</v>
      </c>
      <c r="AG134" s="4" t="s">
        <v>103</v>
      </c>
    </row>
    <row r="135" spans="1:33">
      <c r="A135" s="4">
        <v>45503</v>
      </c>
      <c r="B135" s="4" t="s">
        <v>293</v>
      </c>
      <c r="C135" s="4" t="s">
        <v>99</v>
      </c>
      <c r="D135" s="4" t="s">
        <v>100</v>
      </c>
      <c r="E135" s="4" t="s">
        <v>111</v>
      </c>
      <c r="F135" s="4" t="s">
        <v>112</v>
      </c>
      <c r="G135" s="4" t="s">
        <v>103</v>
      </c>
      <c r="H135" s="4" t="s">
        <v>113</v>
      </c>
      <c r="I135" s="4" t="s">
        <v>103</v>
      </c>
      <c r="J135" s="4" t="s">
        <v>105</v>
      </c>
      <c r="K135" s="4" t="s">
        <v>33</v>
      </c>
      <c r="L135" s="4" t="s">
        <v>114</v>
      </c>
      <c r="M135" s="4" t="s">
        <v>114</v>
      </c>
      <c r="N135" s="4" t="s">
        <v>107</v>
      </c>
      <c r="O135" s="4" t="s">
        <v>115</v>
      </c>
      <c r="P135" s="19">
        <v>-64142.080000000002</v>
      </c>
      <c r="Q135" s="19">
        <v>75.22</v>
      </c>
      <c r="R135" s="19">
        <v>0.92</v>
      </c>
      <c r="S135" s="19">
        <v>-4824767.2576000001</v>
      </c>
      <c r="T135" s="19">
        <v>-4438785.8769920003</v>
      </c>
      <c r="U135" s="19">
        <v>73.2</v>
      </c>
      <c r="V135" s="19">
        <v>-129567.00159999974</v>
      </c>
      <c r="W135" s="19">
        <v>-119201.64147199977</v>
      </c>
      <c r="X135" s="19">
        <v>-4438785.8769920003</v>
      </c>
      <c r="Y135" s="19">
        <v>567096597.14318192</v>
      </c>
      <c r="Z135" s="19">
        <v>366476196.9849546</v>
      </c>
      <c r="AA135" s="4" t="s">
        <v>116</v>
      </c>
      <c r="AB135" s="4" t="s">
        <v>117</v>
      </c>
      <c r="AC135" s="4" t="s">
        <v>103</v>
      </c>
      <c r="AD135" s="19" t="s">
        <v>103</v>
      </c>
      <c r="AE135" s="4" t="s">
        <v>103</v>
      </c>
      <c r="AF135" s="4" t="s">
        <v>103</v>
      </c>
      <c r="AG135" s="4" t="s">
        <v>103</v>
      </c>
    </row>
    <row r="136" spans="1:33">
      <c r="A136" s="4">
        <v>45503</v>
      </c>
      <c r="B136" s="4" t="s">
        <v>293</v>
      </c>
      <c r="C136" s="4" t="s">
        <v>99</v>
      </c>
      <c r="D136" s="4" t="s">
        <v>100</v>
      </c>
      <c r="E136" s="4" t="s">
        <v>118</v>
      </c>
      <c r="F136" s="4" t="s">
        <v>102</v>
      </c>
      <c r="G136" s="4" t="s">
        <v>103</v>
      </c>
      <c r="H136" s="4" t="s">
        <v>119</v>
      </c>
      <c r="I136" s="4" t="s">
        <v>103</v>
      </c>
      <c r="J136" s="4" t="s">
        <v>105</v>
      </c>
      <c r="K136" s="4" t="s">
        <v>34</v>
      </c>
      <c r="L136" s="4" t="s">
        <v>120</v>
      </c>
      <c r="M136" s="4" t="s">
        <v>121</v>
      </c>
      <c r="N136" s="4" t="s">
        <v>107</v>
      </c>
      <c r="O136" s="4" t="s">
        <v>122</v>
      </c>
      <c r="P136" s="19">
        <v>113810.632</v>
      </c>
      <c r="Q136" s="19">
        <v>598.15</v>
      </c>
      <c r="R136" s="19">
        <v>6.7000000000000004E-2</v>
      </c>
      <c r="S136" s="19">
        <v>68075829.5308</v>
      </c>
      <c r="T136" s="19">
        <v>4561080.5785635998</v>
      </c>
      <c r="U136" s="19">
        <v>596.33000000000004</v>
      </c>
      <c r="V136" s="19">
        <v>207135.35023999275</v>
      </c>
      <c r="W136" s="19">
        <v>13878.068466079516</v>
      </c>
      <c r="X136" s="19">
        <v>4561080.5785635998</v>
      </c>
      <c r="Y136" s="19">
        <v>41299426.096296944</v>
      </c>
      <c r="Z136" s="19">
        <v>366476196.9849546</v>
      </c>
      <c r="AA136" s="4" t="s">
        <v>109</v>
      </c>
      <c r="AB136" s="4" t="s">
        <v>110</v>
      </c>
      <c r="AC136" s="4" t="s">
        <v>103</v>
      </c>
      <c r="AD136" s="19" t="s">
        <v>103</v>
      </c>
      <c r="AE136" s="4" t="s">
        <v>123</v>
      </c>
      <c r="AF136" s="4" t="s">
        <v>105</v>
      </c>
      <c r="AG136" s="4" t="s">
        <v>33</v>
      </c>
    </row>
    <row r="137" spans="1:33">
      <c r="A137" s="4">
        <v>45503</v>
      </c>
      <c r="B137" s="4" t="s">
        <v>293</v>
      </c>
      <c r="C137" s="4" t="s">
        <v>99</v>
      </c>
      <c r="D137" s="4" t="s">
        <v>100</v>
      </c>
      <c r="E137" s="4" t="s">
        <v>124</v>
      </c>
      <c r="F137" s="4" t="s">
        <v>102</v>
      </c>
      <c r="G137" s="4" t="s">
        <v>103</v>
      </c>
      <c r="H137" s="4" t="s">
        <v>100</v>
      </c>
      <c r="I137" s="4">
        <v>47253</v>
      </c>
      <c r="J137" s="4" t="s">
        <v>125</v>
      </c>
      <c r="K137" s="4" t="s">
        <v>126</v>
      </c>
      <c r="L137" s="4" t="s">
        <v>127</v>
      </c>
      <c r="M137" s="4" t="s">
        <v>128</v>
      </c>
      <c r="N137" s="4" t="s">
        <v>107</v>
      </c>
      <c r="O137" s="4" t="s">
        <v>129</v>
      </c>
      <c r="P137" s="19">
        <v>232396.5</v>
      </c>
      <c r="Q137" s="19">
        <v>100.09</v>
      </c>
      <c r="R137" s="19">
        <v>1</v>
      </c>
      <c r="S137" s="19">
        <v>23260565.685000002</v>
      </c>
      <c r="T137" s="19">
        <v>23260565.685000002</v>
      </c>
      <c r="U137" s="19">
        <v>100.4</v>
      </c>
      <c r="V137" s="19">
        <v>-72042.915000000532</v>
      </c>
      <c r="W137" s="19">
        <v>-72042.915000000532</v>
      </c>
      <c r="X137" s="19">
        <v>23260565.685000002</v>
      </c>
      <c r="Y137" s="19">
        <v>616409344.72084987</v>
      </c>
      <c r="Z137" s="19">
        <v>366476196.9849546</v>
      </c>
      <c r="AA137" s="4" t="s">
        <v>130</v>
      </c>
      <c r="AB137" s="4" t="s">
        <v>117</v>
      </c>
      <c r="AC137" s="4">
        <v>4.5999999999999999E-2</v>
      </c>
      <c r="AD137" s="19">
        <v>54195500</v>
      </c>
      <c r="AE137" s="4" t="s">
        <v>103</v>
      </c>
      <c r="AF137" s="4" t="s">
        <v>103</v>
      </c>
      <c r="AG137" s="4" t="s">
        <v>103</v>
      </c>
    </row>
    <row r="138" spans="1:33">
      <c r="A138" s="4">
        <v>45503</v>
      </c>
      <c r="B138" s="4" t="s">
        <v>293</v>
      </c>
      <c r="C138" s="4" t="s">
        <v>99</v>
      </c>
      <c r="D138" s="4" t="s">
        <v>100</v>
      </c>
      <c r="E138" s="4" t="s">
        <v>131</v>
      </c>
      <c r="F138" s="4" t="s">
        <v>102</v>
      </c>
      <c r="G138" s="4" t="s">
        <v>103</v>
      </c>
      <c r="H138" s="4" t="s">
        <v>113</v>
      </c>
      <c r="I138" s="4">
        <v>49095</v>
      </c>
      <c r="J138" s="4" t="s">
        <v>125</v>
      </c>
      <c r="K138" s="4" t="s">
        <v>132</v>
      </c>
      <c r="L138" s="4" t="s">
        <v>133</v>
      </c>
      <c r="M138" s="4" t="s">
        <v>134</v>
      </c>
      <c r="N138" s="4" t="s">
        <v>135</v>
      </c>
      <c r="O138" s="4" t="s">
        <v>115</v>
      </c>
      <c r="P138" s="19">
        <v>250731.25</v>
      </c>
      <c r="Q138" s="19">
        <v>96.78</v>
      </c>
      <c r="R138" s="19">
        <v>0.92</v>
      </c>
      <c r="S138" s="19">
        <v>24265770.375</v>
      </c>
      <c r="T138" s="19">
        <v>22324508.745000001</v>
      </c>
      <c r="U138" s="19">
        <v>94.3</v>
      </c>
      <c r="V138" s="19">
        <v>621813.50000000105</v>
      </c>
      <c r="W138" s="19">
        <v>572068.42000000097</v>
      </c>
      <c r="X138" s="19">
        <v>22324508.745000005</v>
      </c>
      <c r="Y138" s="19">
        <v>567096597.14318192</v>
      </c>
      <c r="Z138" s="19">
        <v>366476196.9849546</v>
      </c>
      <c r="AA138" s="4" t="s">
        <v>116</v>
      </c>
      <c r="AB138" s="4" t="s">
        <v>117</v>
      </c>
      <c r="AC138" s="4">
        <v>2.4E-2</v>
      </c>
      <c r="AD138" s="19">
        <v>250731250</v>
      </c>
      <c r="AE138" s="4" t="s">
        <v>103</v>
      </c>
      <c r="AF138" s="4" t="s">
        <v>103</v>
      </c>
      <c r="AG138" s="4" t="s">
        <v>103</v>
      </c>
    </row>
    <row r="139" spans="1:33">
      <c r="A139" s="4">
        <v>45503</v>
      </c>
      <c r="B139" s="4" t="s">
        <v>293</v>
      </c>
      <c r="C139" s="4" t="s">
        <v>99</v>
      </c>
      <c r="D139" s="4" t="s">
        <v>100</v>
      </c>
      <c r="E139" s="4" t="s">
        <v>136</v>
      </c>
      <c r="F139" s="4" t="s">
        <v>102</v>
      </c>
      <c r="G139" s="4" t="s">
        <v>103</v>
      </c>
      <c r="H139" s="4" t="s">
        <v>137</v>
      </c>
      <c r="I139" s="4" t="s">
        <v>103</v>
      </c>
      <c r="J139" s="4" t="s">
        <v>105</v>
      </c>
      <c r="K139" s="4" t="s">
        <v>33</v>
      </c>
      <c r="L139" s="4" t="s">
        <v>138</v>
      </c>
      <c r="M139" s="4" t="s">
        <v>139</v>
      </c>
      <c r="N139" s="4" t="s">
        <v>107</v>
      </c>
      <c r="O139" s="4" t="s">
        <v>140</v>
      </c>
      <c r="P139" s="19">
        <v>179604.25</v>
      </c>
      <c r="Q139" s="19">
        <v>849.12</v>
      </c>
      <c r="R139" s="19">
        <v>7.0000000000000001E-3</v>
      </c>
      <c r="S139" s="19">
        <v>152505560.75999999</v>
      </c>
      <c r="T139" s="19">
        <v>1067538.9253199999</v>
      </c>
      <c r="U139" s="19">
        <v>870.26</v>
      </c>
      <c r="V139" s="19">
        <v>-3796833.8449999974</v>
      </c>
      <c r="W139" s="19">
        <v>-26577.836914999982</v>
      </c>
      <c r="X139" s="19">
        <v>1067538.9253199999</v>
      </c>
      <c r="Y139" s="19">
        <v>4314865.4130459493</v>
      </c>
      <c r="Z139" s="19">
        <v>366476196.9849546</v>
      </c>
      <c r="AA139" s="4" t="s">
        <v>109</v>
      </c>
      <c r="AB139" s="4" t="s">
        <v>110</v>
      </c>
      <c r="AC139" s="4" t="s">
        <v>103</v>
      </c>
      <c r="AD139" s="19" t="s">
        <v>103</v>
      </c>
      <c r="AE139" s="4" t="s">
        <v>103</v>
      </c>
      <c r="AF139" s="4" t="s">
        <v>103</v>
      </c>
      <c r="AG139" s="4" t="s">
        <v>103</v>
      </c>
    </row>
    <row r="140" spans="1:33">
      <c r="A140" s="4">
        <v>45503</v>
      </c>
      <c r="B140" s="4" t="s">
        <v>293</v>
      </c>
      <c r="C140" s="4" t="s">
        <v>99</v>
      </c>
      <c r="D140" s="4" t="s">
        <v>100</v>
      </c>
      <c r="E140" s="4" t="s">
        <v>141</v>
      </c>
      <c r="F140" s="4" t="s">
        <v>102</v>
      </c>
      <c r="G140" s="4" t="s">
        <v>103</v>
      </c>
      <c r="H140" s="4" t="s">
        <v>100</v>
      </c>
      <c r="I140" s="4">
        <v>46234</v>
      </c>
      <c r="J140" s="4" t="s">
        <v>105</v>
      </c>
      <c r="K140" s="4" t="s">
        <v>35</v>
      </c>
      <c r="L140" s="4" t="s">
        <v>142</v>
      </c>
      <c r="M140" s="4" t="s">
        <v>142</v>
      </c>
      <c r="N140" s="4" t="s">
        <v>107</v>
      </c>
      <c r="O140" s="4" t="s">
        <v>143</v>
      </c>
      <c r="P140" s="19">
        <v>2550578.25</v>
      </c>
      <c r="Q140" s="19">
        <v>0.9</v>
      </c>
      <c r="R140" s="19">
        <v>1</v>
      </c>
      <c r="S140" s="19">
        <v>2295520.4250000003</v>
      </c>
      <c r="T140" s="19">
        <v>2295520.4250000003</v>
      </c>
      <c r="U140" s="19">
        <v>0.91</v>
      </c>
      <c r="V140" s="19">
        <v>-25505.782500000023</v>
      </c>
      <c r="W140" s="19">
        <v>-25505.782500000023</v>
      </c>
      <c r="X140" s="19">
        <v>2295520.4250000003</v>
      </c>
      <c r="Y140" s="19">
        <v>616409344.72084987</v>
      </c>
      <c r="Z140" s="19">
        <v>366476196.9849546</v>
      </c>
      <c r="AA140" s="4" t="s">
        <v>130</v>
      </c>
      <c r="AB140" s="4" t="s">
        <v>117</v>
      </c>
      <c r="AC140" s="4" t="s">
        <v>103</v>
      </c>
      <c r="AD140" s="19" t="s">
        <v>103</v>
      </c>
      <c r="AE140" s="4" t="s">
        <v>144</v>
      </c>
      <c r="AF140" s="4" t="s">
        <v>105</v>
      </c>
      <c r="AG140" s="4" t="s">
        <v>33</v>
      </c>
    </row>
    <row r="141" spans="1:33">
      <c r="A141" s="4">
        <v>45503</v>
      </c>
      <c r="B141" s="4" t="s">
        <v>293</v>
      </c>
      <c r="C141" s="4" t="s">
        <v>99</v>
      </c>
      <c r="D141" s="4" t="s">
        <v>100</v>
      </c>
      <c r="E141" s="4" t="s">
        <v>145</v>
      </c>
      <c r="F141" s="4" t="s">
        <v>102</v>
      </c>
      <c r="G141" s="4" t="s">
        <v>146</v>
      </c>
      <c r="H141" s="4" t="s">
        <v>113</v>
      </c>
      <c r="I141" s="4">
        <v>45646</v>
      </c>
      <c r="J141" s="4" t="s">
        <v>147</v>
      </c>
      <c r="K141" s="4" t="s">
        <v>148</v>
      </c>
      <c r="L141" s="4" t="s">
        <v>28</v>
      </c>
      <c r="M141" s="4" t="s">
        <v>28</v>
      </c>
      <c r="N141" s="4" t="s">
        <v>103</v>
      </c>
      <c r="O141" s="4" t="s">
        <v>115</v>
      </c>
      <c r="P141" s="19">
        <v>5991000</v>
      </c>
      <c r="Q141" s="19">
        <v>34.119999999999997</v>
      </c>
      <c r="R141" s="19">
        <v>0.92</v>
      </c>
      <c r="S141" s="19">
        <v>-119820</v>
      </c>
      <c r="T141" s="19">
        <v>-110234.40000000001</v>
      </c>
      <c r="U141" s="19">
        <v>36.119999999999997</v>
      </c>
      <c r="V141" s="19">
        <v>-119820</v>
      </c>
      <c r="W141" s="19">
        <v>-110234.40000000001</v>
      </c>
      <c r="X141" s="19">
        <v>188059886.40000001</v>
      </c>
      <c r="Y141" s="19">
        <v>567096597.14318192</v>
      </c>
      <c r="Z141" s="19">
        <v>366476196.9849546</v>
      </c>
      <c r="AA141" s="4" t="s">
        <v>116</v>
      </c>
      <c r="AB141" s="4" t="s">
        <v>117</v>
      </c>
      <c r="AC141" s="4">
        <v>4.2999999999999997E-2</v>
      </c>
      <c r="AD141" s="19" t="s">
        <v>103</v>
      </c>
      <c r="AE141" s="4" t="s">
        <v>149</v>
      </c>
      <c r="AF141" s="4" t="s">
        <v>125</v>
      </c>
      <c r="AG141" s="4" t="s">
        <v>150</v>
      </c>
    </row>
    <row r="142" spans="1:33">
      <c r="A142" s="4">
        <v>45503</v>
      </c>
      <c r="B142" s="4" t="s">
        <v>293</v>
      </c>
      <c r="C142" s="4" t="s">
        <v>99</v>
      </c>
      <c r="D142" s="4" t="s">
        <v>100</v>
      </c>
      <c r="E142" s="4" t="s">
        <v>151</v>
      </c>
      <c r="F142" s="4" t="s">
        <v>112</v>
      </c>
      <c r="G142" s="4" t="s">
        <v>103</v>
      </c>
      <c r="H142" s="4" t="s">
        <v>100</v>
      </c>
      <c r="I142" s="4">
        <v>49125</v>
      </c>
      <c r="J142" s="4" t="s">
        <v>125</v>
      </c>
      <c r="K142" s="4" t="s">
        <v>126</v>
      </c>
      <c r="L142" s="4" t="s">
        <v>152</v>
      </c>
      <c r="M142" s="4" t="s">
        <v>152</v>
      </c>
      <c r="N142" s="4" t="s">
        <v>107</v>
      </c>
      <c r="O142" s="4" t="s">
        <v>153</v>
      </c>
      <c r="P142" s="19">
        <v>-262708.25</v>
      </c>
      <c r="Q142" s="19">
        <v>107.83</v>
      </c>
      <c r="R142" s="19">
        <v>1</v>
      </c>
      <c r="S142" s="19">
        <v>-28327830.5975</v>
      </c>
      <c r="T142" s="19">
        <v>-28327830.5975</v>
      </c>
      <c r="U142" s="19">
        <v>107.2</v>
      </c>
      <c r="V142" s="19">
        <v>-165506.19749999882</v>
      </c>
      <c r="W142" s="19">
        <v>-165506.19749999882</v>
      </c>
      <c r="X142" s="19">
        <v>-28327830.5975</v>
      </c>
      <c r="Y142" s="19">
        <v>616409344.72084987</v>
      </c>
      <c r="Z142" s="19">
        <v>366476196.9849546</v>
      </c>
      <c r="AA142" s="4" t="s">
        <v>130</v>
      </c>
      <c r="AB142" s="4" t="s">
        <v>117</v>
      </c>
      <c r="AC142" s="4">
        <v>2.9000000000000001E-2</v>
      </c>
      <c r="AD142" s="19">
        <v>6567700</v>
      </c>
      <c r="AE142" s="4" t="s">
        <v>103</v>
      </c>
      <c r="AF142" s="4" t="s">
        <v>103</v>
      </c>
      <c r="AG142" s="4" t="s">
        <v>103</v>
      </c>
    </row>
    <row r="143" spans="1:33">
      <c r="A143" s="4">
        <v>45503</v>
      </c>
      <c r="B143" s="4" t="s">
        <v>293</v>
      </c>
      <c r="C143" s="4" t="s">
        <v>99</v>
      </c>
      <c r="D143" s="4" t="s">
        <v>100</v>
      </c>
      <c r="E143" s="4" t="s">
        <v>154</v>
      </c>
      <c r="F143" s="4" t="s">
        <v>102</v>
      </c>
      <c r="G143" s="4" t="s">
        <v>103</v>
      </c>
      <c r="H143" s="4" t="s">
        <v>100</v>
      </c>
      <c r="I143" s="4" t="s">
        <v>103</v>
      </c>
      <c r="J143" s="4" t="s">
        <v>105</v>
      </c>
      <c r="K143" s="4" t="s">
        <v>36</v>
      </c>
      <c r="L143" s="4" t="s">
        <v>155</v>
      </c>
      <c r="M143" s="4" t="s">
        <v>155</v>
      </c>
      <c r="N143" s="4" t="s">
        <v>107</v>
      </c>
      <c r="O143" s="4" t="s">
        <v>115</v>
      </c>
      <c r="P143" s="19">
        <v>96000</v>
      </c>
      <c r="Q143" s="19">
        <v>4.6500000000000004</v>
      </c>
      <c r="R143" s="19">
        <v>0.92</v>
      </c>
      <c r="S143" s="19">
        <v>446400.00000000006</v>
      </c>
      <c r="T143" s="19">
        <v>410688.00000000006</v>
      </c>
      <c r="U143" s="19">
        <v>4.2</v>
      </c>
      <c r="V143" s="19">
        <v>43200.000000000015</v>
      </c>
      <c r="W143" s="19">
        <v>39744.000000000015</v>
      </c>
      <c r="X143" s="19">
        <v>410688.00000000006</v>
      </c>
      <c r="Y143" s="19">
        <v>567096597.14318192</v>
      </c>
      <c r="Z143" s="19">
        <v>366476196.9849546</v>
      </c>
      <c r="AA143" s="4" t="s">
        <v>116</v>
      </c>
      <c r="AB143" s="4" t="s">
        <v>117</v>
      </c>
      <c r="AC143" s="4" t="s">
        <v>103</v>
      </c>
      <c r="AD143" s="19" t="s">
        <v>103</v>
      </c>
      <c r="AE143" s="4" t="s">
        <v>103</v>
      </c>
      <c r="AF143" s="4" t="s">
        <v>103</v>
      </c>
      <c r="AG143" s="4" t="s">
        <v>103</v>
      </c>
    </row>
    <row r="144" spans="1:33">
      <c r="A144" s="4">
        <v>45503</v>
      </c>
      <c r="B144" s="4" t="s">
        <v>293</v>
      </c>
      <c r="C144" s="4" t="s">
        <v>99</v>
      </c>
      <c r="D144" s="4" t="s">
        <v>100</v>
      </c>
      <c r="E144" s="4" t="s">
        <v>156</v>
      </c>
      <c r="F144" s="4" t="s">
        <v>102</v>
      </c>
      <c r="G144" s="4" t="s">
        <v>157</v>
      </c>
      <c r="H144" s="4" t="s">
        <v>113</v>
      </c>
      <c r="I144" s="4">
        <v>45709</v>
      </c>
      <c r="J144" s="4" t="s">
        <v>147</v>
      </c>
      <c r="K144" s="4" t="s">
        <v>148</v>
      </c>
      <c r="L144" s="4" t="s">
        <v>28</v>
      </c>
      <c r="M144" s="4" t="s">
        <v>28</v>
      </c>
      <c r="N144" s="4" t="s">
        <v>103</v>
      </c>
      <c r="O144" s="4" t="s">
        <v>115</v>
      </c>
      <c r="P144" s="19">
        <v>7655432</v>
      </c>
      <c r="Q144" s="19">
        <v>42.76</v>
      </c>
      <c r="R144" s="19">
        <v>0.92</v>
      </c>
      <c r="S144" s="19">
        <v>154639.72639999969</v>
      </c>
      <c r="T144" s="19">
        <v>142268.54828799973</v>
      </c>
      <c r="U144" s="19">
        <v>40.74</v>
      </c>
      <c r="V144" s="19">
        <v>154639.72639999969</v>
      </c>
      <c r="W144" s="19">
        <v>142268.54828799973</v>
      </c>
      <c r="X144" s="19">
        <v>301158570.53439999</v>
      </c>
      <c r="Y144" s="19">
        <v>567096597.14318192</v>
      </c>
      <c r="Z144" s="19">
        <v>366476196.9849546</v>
      </c>
      <c r="AA144" s="4" t="s">
        <v>130</v>
      </c>
      <c r="AB144" s="4" t="s">
        <v>117</v>
      </c>
      <c r="AC144" s="4">
        <v>4.3999999999999997E-2</v>
      </c>
      <c r="AD144" s="19" t="s">
        <v>103</v>
      </c>
      <c r="AE144" s="4" t="s">
        <v>158</v>
      </c>
      <c r="AF144" s="4" t="s">
        <v>125</v>
      </c>
      <c r="AG144" s="4" t="s">
        <v>159</v>
      </c>
    </row>
    <row r="145" spans="1:33">
      <c r="A145" s="4">
        <v>45503</v>
      </c>
      <c r="B145" s="4" t="s">
        <v>293</v>
      </c>
      <c r="C145" s="4" t="s">
        <v>99</v>
      </c>
      <c r="D145" s="4" t="s">
        <v>100</v>
      </c>
      <c r="E145" s="4" t="s">
        <v>160</v>
      </c>
      <c r="F145" s="4" t="s">
        <v>102</v>
      </c>
      <c r="G145" s="4" t="s">
        <v>103</v>
      </c>
      <c r="H145" s="4" t="s">
        <v>113</v>
      </c>
      <c r="I145" s="4">
        <v>46295</v>
      </c>
      <c r="J145" s="4" t="s">
        <v>125</v>
      </c>
      <c r="K145" s="4" t="s">
        <v>126</v>
      </c>
      <c r="L145" s="4" t="s">
        <v>161</v>
      </c>
      <c r="M145" s="4" t="s">
        <v>161</v>
      </c>
      <c r="N145" s="4" t="s">
        <v>107</v>
      </c>
      <c r="O145" s="4" t="s">
        <v>115</v>
      </c>
      <c r="P145" s="19">
        <v>265431.25</v>
      </c>
      <c r="Q145" s="19">
        <v>109.23</v>
      </c>
      <c r="R145" s="19">
        <v>0.92</v>
      </c>
      <c r="S145" s="19">
        <v>28993055.4375</v>
      </c>
      <c r="T145" s="19">
        <v>26673611.002500001</v>
      </c>
      <c r="U145" s="19">
        <v>109.4</v>
      </c>
      <c r="V145" s="19">
        <v>-45123.312500000451</v>
      </c>
      <c r="W145" s="19">
        <v>-41513.447500000417</v>
      </c>
      <c r="X145" s="19">
        <v>26673611.002500001</v>
      </c>
      <c r="Y145" s="19">
        <v>567096597.14318192</v>
      </c>
      <c r="Z145" s="19">
        <v>366476196.9849546</v>
      </c>
      <c r="AA145" s="4" t="s">
        <v>116</v>
      </c>
      <c r="AB145" s="4" t="s">
        <v>117</v>
      </c>
      <c r="AC145" s="4">
        <v>4.4999999999999998E-2</v>
      </c>
      <c r="AD145" s="19">
        <v>8538000</v>
      </c>
      <c r="AE145" s="4" t="s">
        <v>103</v>
      </c>
      <c r="AF145" s="4" t="s">
        <v>103</v>
      </c>
      <c r="AG145" s="4" t="s">
        <v>103</v>
      </c>
    </row>
    <row r="146" spans="1:33">
      <c r="A146" s="4">
        <v>45503</v>
      </c>
      <c r="B146" s="4" t="s">
        <v>293</v>
      </c>
      <c r="C146" s="4" t="s">
        <v>99</v>
      </c>
      <c r="D146" s="4" t="s">
        <v>100</v>
      </c>
      <c r="E146" s="4" t="s">
        <v>162</v>
      </c>
      <c r="F146" s="4" t="s">
        <v>112</v>
      </c>
      <c r="G146" s="4" t="s">
        <v>163</v>
      </c>
      <c r="H146" s="4" t="s">
        <v>113</v>
      </c>
      <c r="I146" s="4">
        <v>45562</v>
      </c>
      <c r="J146" s="4" t="s">
        <v>164</v>
      </c>
      <c r="K146" s="4" t="s">
        <v>37</v>
      </c>
      <c r="L146" s="4" t="s">
        <v>165</v>
      </c>
      <c r="M146" s="4" t="s">
        <v>166</v>
      </c>
      <c r="N146" s="4" t="s">
        <v>103</v>
      </c>
      <c r="O146" s="4" t="s">
        <v>115</v>
      </c>
      <c r="P146" s="19">
        <v>2767113.75</v>
      </c>
      <c r="Q146" s="19">
        <v>2.4</v>
      </c>
      <c r="R146" s="19">
        <v>0.92</v>
      </c>
      <c r="S146" s="19">
        <v>6641073</v>
      </c>
      <c r="T146" s="19">
        <v>6109787.1600000001</v>
      </c>
      <c r="U146" s="19">
        <v>2.1</v>
      </c>
      <c r="V146" s="19">
        <v>830134.12499999953</v>
      </c>
      <c r="W146" s="19">
        <v>763723.39499999955</v>
      </c>
      <c r="X146" s="19">
        <v>6109787.1600000001</v>
      </c>
      <c r="Y146" s="19">
        <v>567096597.14318192</v>
      </c>
      <c r="Z146" s="19">
        <v>366476196.9849546</v>
      </c>
      <c r="AA146" s="4" t="s">
        <v>116</v>
      </c>
      <c r="AB146" s="4" t="s">
        <v>117</v>
      </c>
      <c r="AC146" s="4" t="s">
        <v>103</v>
      </c>
      <c r="AD146" s="19" t="s">
        <v>103</v>
      </c>
      <c r="AE146" s="4" t="s">
        <v>167</v>
      </c>
      <c r="AF146" s="4" t="s">
        <v>105</v>
      </c>
      <c r="AG146" s="4" t="s">
        <v>33</v>
      </c>
    </row>
    <row r="147" spans="1:33">
      <c r="A147" s="4">
        <v>45503</v>
      </c>
      <c r="B147" s="4" t="s">
        <v>293</v>
      </c>
      <c r="C147" s="4" t="s">
        <v>99</v>
      </c>
      <c r="D147" s="4" t="s">
        <v>100</v>
      </c>
      <c r="E147" s="4" t="s">
        <v>168</v>
      </c>
      <c r="F147" s="4" t="s">
        <v>102</v>
      </c>
      <c r="G147" s="4" t="s">
        <v>103</v>
      </c>
      <c r="H147" s="4" t="s">
        <v>169</v>
      </c>
      <c r="I147" s="4" t="s">
        <v>103</v>
      </c>
      <c r="J147" s="4" t="s">
        <v>105</v>
      </c>
      <c r="K147" s="4" t="s">
        <v>33</v>
      </c>
      <c r="L147" s="4" t="s">
        <v>170</v>
      </c>
      <c r="M147" s="4" t="s">
        <v>170</v>
      </c>
      <c r="N147" s="4" t="s">
        <v>107</v>
      </c>
      <c r="O147" s="4" t="s">
        <v>153</v>
      </c>
      <c r="P147" s="19">
        <v>19218.2</v>
      </c>
      <c r="Q147" s="19">
        <v>76.400000000000006</v>
      </c>
      <c r="R147" s="19">
        <v>1.1499999999999999</v>
      </c>
      <c r="S147" s="19">
        <v>1468270.4800000002</v>
      </c>
      <c r="T147" s="19">
        <v>1688511.0520000001</v>
      </c>
      <c r="U147" s="19">
        <v>73.11</v>
      </c>
      <c r="V147" s="19">
        <v>63227.878000000121</v>
      </c>
      <c r="W147" s="19">
        <v>72712.059700000129</v>
      </c>
      <c r="X147" s="19">
        <v>1688511.0520000001</v>
      </c>
      <c r="Y147" s="19">
        <v>708870746.42897725</v>
      </c>
      <c r="Z147" s="19">
        <v>366476196.9849546</v>
      </c>
      <c r="AA147" s="4" t="s">
        <v>130</v>
      </c>
      <c r="AB147" s="4" t="s">
        <v>117</v>
      </c>
      <c r="AC147" s="4" t="s">
        <v>103</v>
      </c>
      <c r="AD147" s="19" t="s">
        <v>103</v>
      </c>
      <c r="AE147" s="4" t="s">
        <v>103</v>
      </c>
      <c r="AF147" s="4" t="s">
        <v>103</v>
      </c>
      <c r="AG147" s="4" t="s">
        <v>103</v>
      </c>
    </row>
    <row r="148" spans="1:33">
      <c r="A148" s="4">
        <v>45503</v>
      </c>
      <c r="B148" s="4" t="s">
        <v>293</v>
      </c>
      <c r="C148" s="4" t="s">
        <v>99</v>
      </c>
      <c r="D148" s="4" t="s">
        <v>100</v>
      </c>
      <c r="E148" s="4" t="s">
        <v>171</v>
      </c>
      <c r="F148" s="4" t="s">
        <v>102</v>
      </c>
      <c r="G148" s="4" t="s">
        <v>172</v>
      </c>
      <c r="H148" s="4" t="s">
        <v>113</v>
      </c>
      <c r="I148" s="4">
        <v>45562</v>
      </c>
      <c r="J148" s="4" t="s">
        <v>164</v>
      </c>
      <c r="K148" s="4" t="s">
        <v>41</v>
      </c>
      <c r="L148" s="4" t="s">
        <v>173</v>
      </c>
      <c r="M148" s="4" t="s">
        <v>173</v>
      </c>
      <c r="N148" s="4" t="s">
        <v>103</v>
      </c>
      <c r="O148" s="4" t="s">
        <v>115</v>
      </c>
      <c r="P148" s="19">
        <v>2465433.5</v>
      </c>
      <c r="Q148" s="19">
        <v>3.5</v>
      </c>
      <c r="R148" s="19">
        <v>0.92</v>
      </c>
      <c r="S148" s="19">
        <v>8629017.25</v>
      </c>
      <c r="T148" s="19">
        <v>7938695.8700000001</v>
      </c>
      <c r="U148" s="19">
        <v>3.1</v>
      </c>
      <c r="V148" s="19">
        <v>986173.39999999979</v>
      </c>
      <c r="W148" s="19">
        <v>907279.52799999982</v>
      </c>
      <c r="X148" s="19">
        <v>7938695.8700000001</v>
      </c>
      <c r="Y148" s="19">
        <v>567096597.14318192</v>
      </c>
      <c r="Z148" s="19">
        <v>366476196.9849546</v>
      </c>
      <c r="AA148" s="4" t="s">
        <v>116</v>
      </c>
      <c r="AB148" s="4" t="s">
        <v>117</v>
      </c>
      <c r="AC148" s="4" t="s">
        <v>103</v>
      </c>
      <c r="AD148" s="19" t="s">
        <v>103</v>
      </c>
      <c r="AE148" s="4" t="s">
        <v>173</v>
      </c>
      <c r="AF148" s="4" t="s">
        <v>174</v>
      </c>
      <c r="AG148" s="4" t="s">
        <v>175</v>
      </c>
    </row>
    <row r="149" spans="1:33">
      <c r="A149" s="4">
        <v>45503</v>
      </c>
      <c r="B149" s="4" t="s">
        <v>293</v>
      </c>
      <c r="C149" s="4" t="s">
        <v>99</v>
      </c>
      <c r="D149" s="4" t="s">
        <v>100</v>
      </c>
      <c r="E149" s="4" t="s">
        <v>176</v>
      </c>
      <c r="F149" s="4" t="s">
        <v>112</v>
      </c>
      <c r="G149" s="4" t="s">
        <v>103</v>
      </c>
      <c r="H149" s="4" t="s">
        <v>100</v>
      </c>
      <c r="I149" s="4" t="s">
        <v>103</v>
      </c>
      <c r="J149" s="4" t="s">
        <v>105</v>
      </c>
      <c r="K149" s="4" t="s">
        <v>33</v>
      </c>
      <c r="L149" s="4" t="s">
        <v>177</v>
      </c>
      <c r="M149" s="4" t="s">
        <v>178</v>
      </c>
      <c r="N149" s="4" t="s">
        <v>107</v>
      </c>
      <c r="O149" s="4" t="s">
        <v>143</v>
      </c>
      <c r="P149" s="19">
        <v>-27050</v>
      </c>
      <c r="Q149" s="19">
        <v>349.53</v>
      </c>
      <c r="R149" s="19">
        <v>1</v>
      </c>
      <c r="S149" s="19">
        <v>-9454786.5</v>
      </c>
      <c r="T149" s="19">
        <v>-9454786.5</v>
      </c>
      <c r="U149" s="19">
        <v>354.2</v>
      </c>
      <c r="V149" s="19">
        <v>126323.50000000044</v>
      </c>
      <c r="W149" s="19">
        <v>126323.50000000044</v>
      </c>
      <c r="X149" s="19">
        <v>-9454786.5</v>
      </c>
      <c r="Y149" s="19">
        <v>616409344.72084987</v>
      </c>
      <c r="Z149" s="19">
        <v>366476196.9849546</v>
      </c>
      <c r="AA149" s="4" t="s">
        <v>130</v>
      </c>
      <c r="AB149" s="4" t="s">
        <v>117</v>
      </c>
      <c r="AC149" s="4" t="s">
        <v>103</v>
      </c>
      <c r="AD149" s="19" t="s">
        <v>103</v>
      </c>
      <c r="AE149" s="4" t="s">
        <v>103</v>
      </c>
      <c r="AF149" s="4" t="s">
        <v>103</v>
      </c>
      <c r="AG149" s="4" t="s">
        <v>103</v>
      </c>
    </row>
    <row r="150" spans="1:33">
      <c r="A150" s="4">
        <v>45503</v>
      </c>
      <c r="B150" s="4" t="s">
        <v>293</v>
      </c>
      <c r="C150" s="4" t="s">
        <v>99</v>
      </c>
      <c r="D150" s="4" t="s">
        <v>100</v>
      </c>
      <c r="E150" s="4" t="s">
        <v>179</v>
      </c>
      <c r="F150" s="4" t="s">
        <v>102</v>
      </c>
      <c r="G150" s="4" t="s">
        <v>103</v>
      </c>
      <c r="H150" s="4" t="s">
        <v>113</v>
      </c>
      <c r="I150" s="4" t="s">
        <v>103</v>
      </c>
      <c r="J150" s="4" t="s">
        <v>105</v>
      </c>
      <c r="K150" s="4" t="s">
        <v>33</v>
      </c>
      <c r="L150" s="4" t="s">
        <v>180</v>
      </c>
      <c r="M150" s="4" t="s">
        <v>180</v>
      </c>
      <c r="N150" s="4" t="s">
        <v>107</v>
      </c>
      <c r="O150" s="4" t="s">
        <v>115</v>
      </c>
      <c r="P150" s="19">
        <v>22402</v>
      </c>
      <c r="Q150" s="19">
        <v>220.1</v>
      </c>
      <c r="R150" s="19">
        <v>0.92</v>
      </c>
      <c r="S150" s="19">
        <v>4930680.2</v>
      </c>
      <c r="T150" s="19">
        <v>4536225.784</v>
      </c>
      <c r="U150" s="19">
        <v>488.1</v>
      </c>
      <c r="V150" s="19">
        <v>-6003736</v>
      </c>
      <c r="W150" s="19">
        <v>-5523437.1200000001</v>
      </c>
      <c r="X150" s="19">
        <v>4536225.784</v>
      </c>
      <c r="Y150" s="19">
        <v>567096597.14318192</v>
      </c>
      <c r="Z150" s="19">
        <v>366476196.9849546</v>
      </c>
      <c r="AA150" s="4" t="s">
        <v>116</v>
      </c>
      <c r="AB150" s="4" t="s">
        <v>117</v>
      </c>
      <c r="AC150" s="4" t="s">
        <v>103</v>
      </c>
      <c r="AD150" s="19" t="s">
        <v>103</v>
      </c>
      <c r="AE150" s="4" t="s">
        <v>103</v>
      </c>
      <c r="AF150" s="4" t="s">
        <v>103</v>
      </c>
      <c r="AG150" s="4" t="s">
        <v>103</v>
      </c>
    </row>
    <row r="151" spans="1:33">
      <c r="A151" s="4">
        <v>45503</v>
      </c>
      <c r="B151" s="4" t="s">
        <v>293</v>
      </c>
      <c r="C151" s="4" t="s">
        <v>99</v>
      </c>
      <c r="D151" s="4" t="s">
        <v>100</v>
      </c>
      <c r="E151" s="4" t="s">
        <v>181</v>
      </c>
      <c r="F151" s="4" t="s">
        <v>102</v>
      </c>
      <c r="G151" s="4" t="s">
        <v>103</v>
      </c>
      <c r="H151" s="4" t="s">
        <v>169</v>
      </c>
      <c r="I151" s="4" t="s">
        <v>103</v>
      </c>
      <c r="J151" s="4" t="s">
        <v>105</v>
      </c>
      <c r="K151" s="4" t="s">
        <v>33</v>
      </c>
      <c r="L151" s="4" t="s">
        <v>182</v>
      </c>
      <c r="M151" s="4" t="s">
        <v>182</v>
      </c>
      <c r="N151" s="4" t="s">
        <v>107</v>
      </c>
      <c r="O151" s="4" t="s">
        <v>153</v>
      </c>
      <c r="P151" s="19">
        <v>24583.200000000001</v>
      </c>
      <c r="Q151" s="19">
        <v>234.04</v>
      </c>
      <c r="R151" s="19">
        <v>1.1499999999999999</v>
      </c>
      <c r="S151" s="19">
        <v>5753452.1279999996</v>
      </c>
      <c r="T151" s="19">
        <v>6616469.9471999994</v>
      </c>
      <c r="U151" s="19">
        <v>240.09</v>
      </c>
      <c r="V151" s="19">
        <v>-148728.36000000028</v>
      </c>
      <c r="W151" s="19">
        <v>-171037.61400000029</v>
      </c>
      <c r="X151" s="19">
        <v>6616469.9471999994</v>
      </c>
      <c r="Y151" s="19">
        <v>708870746.42897725</v>
      </c>
      <c r="Z151" s="19">
        <v>366476196.9849546</v>
      </c>
      <c r="AA151" s="4" t="s">
        <v>130</v>
      </c>
      <c r="AB151" s="4" t="s">
        <v>117</v>
      </c>
      <c r="AC151" s="4" t="s">
        <v>103</v>
      </c>
      <c r="AD151" s="19" t="s">
        <v>103</v>
      </c>
      <c r="AE151" s="4" t="s">
        <v>103</v>
      </c>
      <c r="AF151" s="4" t="s">
        <v>103</v>
      </c>
      <c r="AG151" s="4" t="s">
        <v>103</v>
      </c>
    </row>
    <row r="152" spans="1:33">
      <c r="A152" s="4">
        <v>45503</v>
      </c>
      <c r="B152" s="4" t="s">
        <v>293</v>
      </c>
      <c r="C152" s="4" t="s">
        <v>99</v>
      </c>
      <c r="D152" s="4" t="s">
        <v>100</v>
      </c>
      <c r="E152" s="4" t="s">
        <v>183</v>
      </c>
      <c r="F152" s="4" t="s">
        <v>102</v>
      </c>
      <c r="G152" s="4" t="s">
        <v>157</v>
      </c>
      <c r="H152" s="4" t="s">
        <v>113</v>
      </c>
      <c r="I152" s="4">
        <v>45565</v>
      </c>
      <c r="J152" s="4" t="s">
        <v>147</v>
      </c>
      <c r="K152" s="4" t="s">
        <v>41</v>
      </c>
      <c r="L152" s="4" t="s">
        <v>28</v>
      </c>
      <c r="M152" s="4" t="s">
        <v>28</v>
      </c>
      <c r="N152" s="4" t="s">
        <v>103</v>
      </c>
      <c r="O152" s="4" t="s">
        <v>115</v>
      </c>
      <c r="P152" s="19">
        <v>8000.75</v>
      </c>
      <c r="Q152" s="19">
        <v>59.23</v>
      </c>
      <c r="R152" s="19">
        <v>0.92</v>
      </c>
      <c r="S152" s="19">
        <v>473884.42249999999</v>
      </c>
      <c r="T152" s="19">
        <v>435973.66869999998</v>
      </c>
      <c r="U152" s="19">
        <v>55.23</v>
      </c>
      <c r="V152" s="19">
        <v>32003</v>
      </c>
      <c r="W152" s="19">
        <v>29442.760000000002</v>
      </c>
      <c r="X152" s="19">
        <v>435973.66869999998</v>
      </c>
      <c r="Y152" s="19">
        <v>567096597.14318192</v>
      </c>
      <c r="Z152" s="19">
        <v>366476196.9849546</v>
      </c>
      <c r="AA152" s="4" t="s">
        <v>130</v>
      </c>
      <c r="AB152" s="4" t="s">
        <v>117</v>
      </c>
      <c r="AD152" s="19" t="s">
        <v>103</v>
      </c>
      <c r="AE152" s="4" t="s">
        <v>184</v>
      </c>
      <c r="AF152" s="4" t="s">
        <v>174</v>
      </c>
      <c r="AG152" s="4" t="s">
        <v>175</v>
      </c>
    </row>
    <row r="153" spans="1:33">
      <c r="A153" s="4">
        <v>45503</v>
      </c>
      <c r="B153" s="4" t="s">
        <v>293</v>
      </c>
      <c r="C153" s="4" t="s">
        <v>99</v>
      </c>
      <c r="D153" s="4" t="s">
        <v>100</v>
      </c>
      <c r="E153" s="4" t="s">
        <v>185</v>
      </c>
      <c r="F153" s="4" t="s">
        <v>102</v>
      </c>
      <c r="G153" s="4" t="s">
        <v>157</v>
      </c>
      <c r="H153" s="4" t="s">
        <v>186</v>
      </c>
      <c r="I153" s="4">
        <v>45596</v>
      </c>
      <c r="J153" s="4" t="s">
        <v>164</v>
      </c>
      <c r="K153" s="4" t="s">
        <v>37</v>
      </c>
      <c r="L153" s="4" t="s">
        <v>187</v>
      </c>
      <c r="M153" s="4" t="s">
        <v>187</v>
      </c>
      <c r="N153" s="4" t="s">
        <v>103</v>
      </c>
      <c r="O153" s="4" t="s">
        <v>188</v>
      </c>
      <c r="P153" s="19">
        <v>2351023.4</v>
      </c>
      <c r="Q153" s="19">
        <v>4.2</v>
      </c>
      <c r="R153" s="19">
        <v>1.18</v>
      </c>
      <c r="S153" s="19">
        <v>9874298.2799999993</v>
      </c>
      <c r="T153" s="19">
        <v>11651671.970399998</v>
      </c>
      <c r="U153" s="19">
        <v>3.7</v>
      </c>
      <c r="V153" s="19">
        <v>1175511.7</v>
      </c>
      <c r="W153" s="19">
        <v>1387103.8059999999</v>
      </c>
      <c r="X153" s="19">
        <v>11651671.970399998</v>
      </c>
      <c r="Y153" s="19">
        <v>727363026.77060282</v>
      </c>
      <c r="Z153" s="19">
        <v>366476196.9849546</v>
      </c>
      <c r="AA153" s="4" t="s">
        <v>109</v>
      </c>
      <c r="AB153" s="4" t="s">
        <v>110</v>
      </c>
      <c r="AC153" s="4" t="s">
        <v>103</v>
      </c>
      <c r="AD153" s="19" t="s">
        <v>103</v>
      </c>
      <c r="AE153" s="4" t="s">
        <v>189</v>
      </c>
      <c r="AF153" s="4" t="s">
        <v>174</v>
      </c>
      <c r="AG153" s="4" t="s">
        <v>175</v>
      </c>
    </row>
    <row r="154" spans="1:33">
      <c r="A154" s="4">
        <v>45503</v>
      </c>
      <c r="B154" s="4" t="s">
        <v>293</v>
      </c>
      <c r="C154" s="4" t="s">
        <v>99</v>
      </c>
      <c r="D154" s="4" t="s">
        <v>100</v>
      </c>
      <c r="E154" s="4" t="s">
        <v>190</v>
      </c>
      <c r="F154" s="4" t="s">
        <v>102</v>
      </c>
      <c r="G154" s="4" t="s">
        <v>191</v>
      </c>
      <c r="H154" s="4" t="s">
        <v>100</v>
      </c>
      <c r="I154" s="4">
        <v>45596</v>
      </c>
      <c r="J154" s="4" t="s">
        <v>192</v>
      </c>
      <c r="K154" s="4" t="s">
        <v>193</v>
      </c>
      <c r="L154" s="4" t="s">
        <v>194</v>
      </c>
      <c r="M154" s="4" t="s">
        <v>194</v>
      </c>
      <c r="N154" s="4" t="s">
        <v>103</v>
      </c>
      <c r="O154" s="4" t="s">
        <v>153</v>
      </c>
      <c r="P154" s="19">
        <v>1000</v>
      </c>
      <c r="Q154" s="19">
        <v>78.900000000000006</v>
      </c>
      <c r="R154" s="19">
        <v>1</v>
      </c>
      <c r="S154" s="19">
        <v>-99.999999999994316</v>
      </c>
      <c r="T154" s="19">
        <v>-99.999999999994316</v>
      </c>
      <c r="U154" s="19">
        <v>79</v>
      </c>
      <c r="V154" s="19">
        <v>-99.999999999994316</v>
      </c>
      <c r="W154" s="19">
        <v>-99.999999999994316</v>
      </c>
      <c r="X154" s="19">
        <v>78900</v>
      </c>
      <c r="Y154" s="19">
        <v>616409344.72084987</v>
      </c>
      <c r="Z154" s="19">
        <v>366476196.9849546</v>
      </c>
      <c r="AA154" s="4" t="s">
        <v>130</v>
      </c>
      <c r="AB154" s="4" t="s">
        <v>117</v>
      </c>
      <c r="AC154" s="4" t="s">
        <v>103</v>
      </c>
      <c r="AD154" s="19" t="s">
        <v>103</v>
      </c>
      <c r="AE154" s="4" t="s">
        <v>103</v>
      </c>
      <c r="AF154" s="4" t="s">
        <v>103</v>
      </c>
      <c r="AG154" s="4" t="s">
        <v>103</v>
      </c>
    </row>
    <row r="155" spans="1:33">
      <c r="A155" s="4">
        <v>45503</v>
      </c>
      <c r="B155" s="4" t="s">
        <v>293</v>
      </c>
      <c r="C155" s="4" t="s">
        <v>99</v>
      </c>
      <c r="D155" s="4" t="s">
        <v>100</v>
      </c>
      <c r="E155" s="4" t="s">
        <v>195</v>
      </c>
      <c r="F155" s="4" t="s">
        <v>102</v>
      </c>
      <c r="G155" s="4" t="s">
        <v>103</v>
      </c>
      <c r="H155" s="4" t="s">
        <v>100</v>
      </c>
      <c r="I155" s="4" t="s">
        <v>103</v>
      </c>
      <c r="J155" s="4" t="s">
        <v>105</v>
      </c>
      <c r="K155" s="4" t="s">
        <v>34</v>
      </c>
      <c r="L155" s="4" t="s">
        <v>196</v>
      </c>
      <c r="M155" s="4" t="s">
        <v>196</v>
      </c>
      <c r="N155" s="4" t="s">
        <v>107</v>
      </c>
      <c r="O155" s="4" t="s">
        <v>129</v>
      </c>
      <c r="P155" s="19">
        <v>248074.75</v>
      </c>
      <c r="Q155" s="19">
        <v>342.42</v>
      </c>
      <c r="R155" s="19">
        <v>1</v>
      </c>
      <c r="S155" s="19">
        <v>84945755.895000011</v>
      </c>
      <c r="T155" s="19">
        <v>84945755.895000011</v>
      </c>
      <c r="U155" s="19">
        <v>330.92</v>
      </c>
      <c r="V155" s="19">
        <v>2852859.625</v>
      </c>
      <c r="W155" s="19">
        <v>2852859.625</v>
      </c>
      <c r="X155" s="19">
        <v>84945755.895000011</v>
      </c>
      <c r="Y155" s="19">
        <v>616409344.72084987</v>
      </c>
      <c r="Z155" s="19">
        <v>366476196.9849546</v>
      </c>
      <c r="AA155" s="4" t="s">
        <v>130</v>
      </c>
      <c r="AB155" s="4" t="s">
        <v>117</v>
      </c>
      <c r="AC155" s="4" t="s">
        <v>103</v>
      </c>
      <c r="AD155" s="19" t="s">
        <v>103</v>
      </c>
      <c r="AE155" s="4" t="s">
        <v>197</v>
      </c>
      <c r="AF155" s="4" t="s">
        <v>105</v>
      </c>
      <c r="AG155" s="4" t="s">
        <v>33</v>
      </c>
    </row>
    <row r="156" spans="1:33">
      <c r="A156" s="4">
        <v>45503</v>
      </c>
      <c r="B156" s="4" t="s">
        <v>293</v>
      </c>
      <c r="C156" s="4" t="s">
        <v>99</v>
      </c>
      <c r="D156" s="4" t="s">
        <v>100</v>
      </c>
      <c r="E156" s="4" t="s">
        <v>198</v>
      </c>
      <c r="F156" s="4" t="s">
        <v>102</v>
      </c>
      <c r="G156" s="4" t="s">
        <v>103</v>
      </c>
      <c r="H156" s="4" t="s">
        <v>169</v>
      </c>
      <c r="I156" s="4" t="s">
        <v>103</v>
      </c>
      <c r="J156" s="4" t="s">
        <v>105</v>
      </c>
      <c r="K156" s="4" t="s">
        <v>34</v>
      </c>
      <c r="L156" s="4" t="s">
        <v>199</v>
      </c>
      <c r="M156" s="4" t="s">
        <v>199</v>
      </c>
      <c r="N156" s="4" t="s">
        <v>107</v>
      </c>
      <c r="O156" s="4" t="s">
        <v>153</v>
      </c>
      <c r="P156" s="19">
        <v>327052.25</v>
      </c>
      <c r="Q156" s="19">
        <v>285.26</v>
      </c>
      <c r="R156" s="19">
        <v>1.1499999999999999</v>
      </c>
      <c r="S156" s="19">
        <v>93294924.834999993</v>
      </c>
      <c r="T156" s="19">
        <v>107289163.56024998</v>
      </c>
      <c r="U156" s="19">
        <v>279.98</v>
      </c>
      <c r="V156" s="19">
        <v>1726835.879999991</v>
      </c>
      <c r="W156" s="19">
        <v>1985861.2619999896</v>
      </c>
      <c r="X156" s="19">
        <v>107289163.56025</v>
      </c>
      <c r="Y156" s="19">
        <v>708870746.42897725</v>
      </c>
      <c r="Z156" s="19">
        <v>366476196.9849546</v>
      </c>
      <c r="AA156" s="4" t="s">
        <v>130</v>
      </c>
      <c r="AB156" s="4" t="s">
        <v>117</v>
      </c>
      <c r="AC156" s="4" t="s">
        <v>103</v>
      </c>
      <c r="AD156" s="19" t="s">
        <v>103</v>
      </c>
      <c r="AE156" s="4" t="s">
        <v>200</v>
      </c>
      <c r="AF156" s="4" t="s">
        <v>105</v>
      </c>
      <c r="AG156" s="4" t="s">
        <v>33</v>
      </c>
    </row>
    <row r="157" spans="1:33">
      <c r="A157" s="4">
        <v>45503</v>
      </c>
      <c r="B157" s="4" t="s">
        <v>293</v>
      </c>
      <c r="C157" s="4" t="s">
        <v>99</v>
      </c>
      <c r="D157" s="4" t="s">
        <v>100</v>
      </c>
      <c r="E157" s="4" t="s">
        <v>201</v>
      </c>
      <c r="F157" s="4" t="s">
        <v>102</v>
      </c>
      <c r="G157" s="4" t="s">
        <v>202</v>
      </c>
      <c r="H157" s="4" t="s">
        <v>203</v>
      </c>
      <c r="I157" s="4">
        <v>45596</v>
      </c>
      <c r="J157" s="4" t="s">
        <v>147</v>
      </c>
      <c r="K157" s="4" t="s">
        <v>37</v>
      </c>
      <c r="L157" s="4" t="s">
        <v>28</v>
      </c>
      <c r="M157" s="4" t="s">
        <v>28</v>
      </c>
      <c r="N157" s="4" t="s">
        <v>103</v>
      </c>
      <c r="O157" s="4" t="s">
        <v>204</v>
      </c>
      <c r="P157" s="19">
        <v>302790.25</v>
      </c>
      <c r="Q157" s="19">
        <v>0.99</v>
      </c>
      <c r="R157" s="19">
        <v>0.13</v>
      </c>
      <c r="S157" s="19">
        <v>299762.34749999997</v>
      </c>
      <c r="T157" s="19">
        <v>38969.105174999997</v>
      </c>
      <c r="U157" s="19">
        <v>1.04</v>
      </c>
      <c r="V157" s="19">
        <v>-15139.512500000013</v>
      </c>
      <c r="W157" s="19">
        <v>-1968.1366250000019</v>
      </c>
      <c r="X157" s="19">
        <v>38969.105175000004</v>
      </c>
      <c r="Y157" s="19">
        <v>80133214.813710481</v>
      </c>
      <c r="Z157" s="19">
        <v>366476196.9849546</v>
      </c>
      <c r="AA157" s="4" t="s">
        <v>109</v>
      </c>
      <c r="AB157" s="4" t="s">
        <v>110</v>
      </c>
      <c r="AC157" s="4" t="s">
        <v>103</v>
      </c>
      <c r="AD157" s="19" t="s">
        <v>103</v>
      </c>
      <c r="AE157" s="4" t="s">
        <v>205</v>
      </c>
      <c r="AF157" s="4" t="s">
        <v>105</v>
      </c>
      <c r="AG157" s="4" t="s">
        <v>33</v>
      </c>
    </row>
    <row r="158" spans="1:33">
      <c r="A158" s="4">
        <v>45503</v>
      </c>
      <c r="B158" s="4" t="s">
        <v>293</v>
      </c>
      <c r="C158" s="4" t="s">
        <v>99</v>
      </c>
      <c r="D158" s="4" t="s">
        <v>100</v>
      </c>
      <c r="E158" s="4" t="s">
        <v>206</v>
      </c>
      <c r="F158" s="4" t="s">
        <v>102</v>
      </c>
      <c r="G158" s="4" t="s">
        <v>103</v>
      </c>
      <c r="H158" s="4" t="s">
        <v>113</v>
      </c>
      <c r="I158" s="4">
        <v>52748</v>
      </c>
      <c r="J158" s="4" t="s">
        <v>125</v>
      </c>
      <c r="K158" s="4" t="s">
        <v>132</v>
      </c>
      <c r="L158" s="4" t="s">
        <v>133</v>
      </c>
      <c r="M158" s="4" t="s">
        <v>134</v>
      </c>
      <c r="N158" s="4" t="s">
        <v>135</v>
      </c>
      <c r="O158" s="4" t="s">
        <v>115</v>
      </c>
      <c r="P158" s="19">
        <v>211078</v>
      </c>
      <c r="Q158" s="19">
        <v>97.88</v>
      </c>
      <c r="R158" s="19">
        <v>0.92</v>
      </c>
      <c r="S158" s="19">
        <v>20660314.640000001</v>
      </c>
      <c r="T158" s="19">
        <v>19007489.468800001</v>
      </c>
      <c r="U158" s="19">
        <v>199.87</v>
      </c>
      <c r="V158" s="19">
        <v>-21527845.220000003</v>
      </c>
      <c r="W158" s="19">
        <v>-19805617.602400005</v>
      </c>
      <c r="X158" s="19">
        <v>19007489.468800001</v>
      </c>
      <c r="Y158" s="19">
        <v>567096597.14318192</v>
      </c>
      <c r="Z158" s="19">
        <v>366476196.9849546</v>
      </c>
      <c r="AA158" s="4" t="s">
        <v>116</v>
      </c>
      <c r="AB158" s="4" t="s">
        <v>117</v>
      </c>
      <c r="AC158" s="4">
        <v>4.3999999999999997E-2</v>
      </c>
      <c r="AD158" s="19">
        <v>6830400</v>
      </c>
      <c r="AE158" s="4" t="s">
        <v>103</v>
      </c>
      <c r="AF158" s="4" t="s">
        <v>103</v>
      </c>
      <c r="AG158" s="4" t="s">
        <v>103</v>
      </c>
    </row>
    <row r="159" spans="1:33">
      <c r="A159" s="4">
        <v>45503</v>
      </c>
      <c r="B159" s="4" t="s">
        <v>293</v>
      </c>
      <c r="C159" s="4" t="s">
        <v>99</v>
      </c>
      <c r="D159" s="4" t="s">
        <v>100</v>
      </c>
      <c r="E159" s="4" t="s">
        <v>207</v>
      </c>
      <c r="F159" s="4" t="s">
        <v>102</v>
      </c>
      <c r="G159" s="4" t="s">
        <v>103</v>
      </c>
      <c r="H159" s="4" t="s">
        <v>100</v>
      </c>
      <c r="I159" s="4">
        <v>45831</v>
      </c>
      <c r="J159" s="4" t="s">
        <v>105</v>
      </c>
      <c r="K159" s="4" t="s">
        <v>35</v>
      </c>
      <c r="L159" s="4" t="s">
        <v>208</v>
      </c>
      <c r="M159" s="4" t="s">
        <v>209</v>
      </c>
      <c r="N159" s="4" t="s">
        <v>107</v>
      </c>
      <c r="O159" s="4" t="s">
        <v>210</v>
      </c>
      <c r="P159" s="19">
        <v>31762298.5</v>
      </c>
      <c r="Q159" s="19">
        <v>5.6000000000000001E-2</v>
      </c>
      <c r="R159" s="19">
        <v>1</v>
      </c>
      <c r="S159" s="19">
        <v>1778688.716</v>
      </c>
      <c r="T159" s="19">
        <v>1778688.716</v>
      </c>
      <c r="U159" s="19">
        <v>5.1999999999999998E-2</v>
      </c>
      <c r="V159" s="19">
        <v>127049.19400000012</v>
      </c>
      <c r="W159" s="19">
        <v>127049.19400000012</v>
      </c>
      <c r="X159" s="19">
        <v>1778688.716</v>
      </c>
      <c r="Y159" s="19">
        <v>616409344.72084987</v>
      </c>
      <c r="Z159" s="19">
        <v>366476196.9849546</v>
      </c>
      <c r="AA159" s="4" t="s">
        <v>130</v>
      </c>
      <c r="AB159" s="4" t="s">
        <v>117</v>
      </c>
      <c r="AC159" s="4" t="s">
        <v>103</v>
      </c>
      <c r="AD159" s="19" t="s">
        <v>103</v>
      </c>
      <c r="AE159" s="4" t="s">
        <v>211</v>
      </c>
      <c r="AF159" s="4" t="s">
        <v>105</v>
      </c>
      <c r="AG159" s="4" t="s">
        <v>33</v>
      </c>
    </row>
    <row r="160" spans="1:33">
      <c r="A160" s="4">
        <v>45503</v>
      </c>
      <c r="B160" s="4" t="s">
        <v>293</v>
      </c>
      <c r="C160" s="4" t="s">
        <v>99</v>
      </c>
      <c r="D160" s="4" t="s">
        <v>100</v>
      </c>
      <c r="E160" s="4" t="s">
        <v>212</v>
      </c>
      <c r="F160" s="4" t="s">
        <v>102</v>
      </c>
      <c r="G160" s="4" t="s">
        <v>103</v>
      </c>
      <c r="H160" s="4" t="s">
        <v>100</v>
      </c>
      <c r="I160" s="4">
        <v>46105</v>
      </c>
      <c r="J160" s="4" t="s">
        <v>105</v>
      </c>
      <c r="K160" s="4" t="s">
        <v>35</v>
      </c>
      <c r="L160" s="4" t="s">
        <v>213</v>
      </c>
      <c r="M160" s="4" t="s">
        <v>214</v>
      </c>
      <c r="N160" s="4" t="s">
        <v>107</v>
      </c>
      <c r="O160" s="4" t="s">
        <v>210</v>
      </c>
      <c r="P160" s="19">
        <v>13236155.5</v>
      </c>
      <c r="Q160" s="19">
        <v>0.06</v>
      </c>
      <c r="R160" s="19">
        <v>1</v>
      </c>
      <c r="S160" s="19">
        <v>794169.33</v>
      </c>
      <c r="T160" s="19">
        <v>794169.33</v>
      </c>
      <c r="U160" s="19">
        <v>5.5E-2</v>
      </c>
      <c r="V160" s="19">
        <v>66180.777499999967</v>
      </c>
      <c r="W160" s="19">
        <v>66180.777499999967</v>
      </c>
      <c r="X160" s="19">
        <v>794169.33</v>
      </c>
      <c r="Y160" s="19">
        <v>616409344.72084987</v>
      </c>
      <c r="Z160" s="19">
        <v>366476196.9849546</v>
      </c>
      <c r="AA160" s="4" t="s">
        <v>130</v>
      </c>
      <c r="AB160" s="4" t="s">
        <v>117</v>
      </c>
      <c r="AC160" s="4" t="s">
        <v>103</v>
      </c>
      <c r="AD160" s="19" t="s">
        <v>103</v>
      </c>
      <c r="AE160" s="4" t="s">
        <v>215</v>
      </c>
      <c r="AF160" s="4" t="s">
        <v>105</v>
      </c>
      <c r="AG160" s="4" t="s">
        <v>33</v>
      </c>
    </row>
    <row r="161" spans="1:33">
      <c r="A161" s="4">
        <v>45503</v>
      </c>
      <c r="B161" s="4" t="s">
        <v>293</v>
      </c>
      <c r="C161" s="4" t="s">
        <v>99</v>
      </c>
      <c r="D161" s="4" t="s">
        <v>100</v>
      </c>
      <c r="E161" s="4" t="s">
        <v>288</v>
      </c>
      <c r="F161" s="4" t="s">
        <v>102</v>
      </c>
      <c r="G161" s="4" t="s">
        <v>103</v>
      </c>
      <c r="H161" s="4" t="s">
        <v>113</v>
      </c>
      <c r="I161" s="4" t="s">
        <v>103</v>
      </c>
      <c r="J161" s="4" t="s">
        <v>105</v>
      </c>
      <c r="K161" s="4" t="s">
        <v>33</v>
      </c>
      <c r="L161" s="4" t="s">
        <v>216</v>
      </c>
      <c r="M161" s="4" t="s">
        <v>216</v>
      </c>
      <c r="N161" s="4" t="s">
        <v>107</v>
      </c>
      <c r="O161" s="4" t="s">
        <v>115</v>
      </c>
      <c r="P161" s="19">
        <v>17012</v>
      </c>
      <c r="Q161" s="19">
        <v>123.3</v>
      </c>
      <c r="R161" s="19">
        <v>0.92</v>
      </c>
      <c r="S161" s="19">
        <v>2097579.6</v>
      </c>
      <c r="T161" s="19">
        <v>1929773.2320000001</v>
      </c>
      <c r="U161" s="19">
        <v>589.02</v>
      </c>
      <c r="V161" s="19">
        <v>-7922828.6399999997</v>
      </c>
      <c r="W161" s="19">
        <v>-7289002.3487999998</v>
      </c>
      <c r="X161" s="19">
        <v>1929773.2320000001</v>
      </c>
      <c r="Y161" s="19">
        <v>567096597.14318192</v>
      </c>
      <c r="Z161" s="19">
        <v>366476196.9849546</v>
      </c>
      <c r="AA161" s="4" t="s">
        <v>116</v>
      </c>
      <c r="AB161" s="4" t="s">
        <v>117</v>
      </c>
      <c r="AC161" s="4" t="s">
        <v>103</v>
      </c>
      <c r="AD161" s="19" t="s">
        <v>103</v>
      </c>
      <c r="AE161" s="4" t="s">
        <v>103</v>
      </c>
      <c r="AF161" s="4" t="s">
        <v>103</v>
      </c>
      <c r="AG161" s="4" t="s">
        <v>103</v>
      </c>
    </row>
    <row r="162" spans="1:33">
      <c r="A162" s="4">
        <v>45503</v>
      </c>
      <c r="B162" s="4" t="s">
        <v>293</v>
      </c>
      <c r="C162" s="4" t="s">
        <v>99</v>
      </c>
      <c r="D162" s="4" t="s">
        <v>100</v>
      </c>
      <c r="E162" s="4" t="s">
        <v>217</v>
      </c>
      <c r="F162" s="4" t="s">
        <v>102</v>
      </c>
      <c r="G162" s="4" t="s">
        <v>163</v>
      </c>
      <c r="H162" s="4" t="s">
        <v>100</v>
      </c>
      <c r="I162" s="4">
        <v>50678</v>
      </c>
      <c r="J162" s="4" t="s">
        <v>125</v>
      </c>
      <c r="K162" s="4" t="s">
        <v>218</v>
      </c>
      <c r="L162" s="4" t="s">
        <v>219</v>
      </c>
      <c r="M162" s="4" t="s">
        <v>220</v>
      </c>
      <c r="N162" s="4" t="s">
        <v>107</v>
      </c>
      <c r="O162" s="4" t="s">
        <v>210</v>
      </c>
      <c r="P162" s="19">
        <v>1796136.5</v>
      </c>
      <c r="Q162" s="19">
        <v>100.4</v>
      </c>
      <c r="R162" s="19">
        <v>1</v>
      </c>
      <c r="S162" s="19">
        <v>1803321.0460000003</v>
      </c>
      <c r="T162" s="19">
        <v>1803321.0460000003</v>
      </c>
      <c r="U162" s="19">
        <v>100</v>
      </c>
      <c r="V162" s="19">
        <v>718454.60000001022</v>
      </c>
      <c r="W162" s="19">
        <v>718454.60000001022</v>
      </c>
      <c r="X162" s="19">
        <v>180332104.60000002</v>
      </c>
      <c r="Y162" s="19">
        <v>616409344.72084987</v>
      </c>
      <c r="Z162" s="19">
        <v>366476196.9849546</v>
      </c>
      <c r="AA162" s="4" t="s">
        <v>116</v>
      </c>
      <c r="AB162" s="4" t="s">
        <v>110</v>
      </c>
      <c r="AC162" s="4">
        <v>5.2999999999999999E-2</v>
      </c>
      <c r="AD162" s="19" t="s">
        <v>103</v>
      </c>
      <c r="AE162" s="4" t="s">
        <v>103</v>
      </c>
      <c r="AF162" s="4" t="s">
        <v>103</v>
      </c>
      <c r="AG162" s="4" t="s">
        <v>103</v>
      </c>
    </row>
    <row r="163" spans="1:33">
      <c r="A163" s="4">
        <v>45503</v>
      </c>
      <c r="B163" s="4" t="s">
        <v>293</v>
      </c>
      <c r="C163" s="4" t="s">
        <v>99</v>
      </c>
      <c r="D163" s="4" t="s">
        <v>100</v>
      </c>
      <c r="E163" s="4" t="s">
        <v>221</v>
      </c>
      <c r="F163" s="4" t="s">
        <v>102</v>
      </c>
      <c r="G163" s="4" t="s">
        <v>191</v>
      </c>
      <c r="H163" s="4" t="s">
        <v>100</v>
      </c>
      <c r="I163" s="4">
        <v>46721</v>
      </c>
      <c r="J163" s="4" t="s">
        <v>125</v>
      </c>
      <c r="K163" s="4" t="s">
        <v>218</v>
      </c>
      <c r="L163" s="4" t="s">
        <v>222</v>
      </c>
      <c r="M163" s="4" t="s">
        <v>223</v>
      </c>
      <c r="N163" s="4" t="s">
        <v>107</v>
      </c>
      <c r="O163" s="4" t="s">
        <v>224</v>
      </c>
      <c r="P163" s="19">
        <v>1595523.75</v>
      </c>
      <c r="Q163" s="19">
        <v>99.3</v>
      </c>
      <c r="R163" s="19">
        <v>1</v>
      </c>
      <c r="S163" s="19">
        <v>1584355.08375</v>
      </c>
      <c r="T163" s="19">
        <v>1584355.08375</v>
      </c>
      <c r="U163" s="19">
        <v>100</v>
      </c>
      <c r="V163" s="19">
        <v>-1116866.6250000044</v>
      </c>
      <c r="W163" s="19">
        <v>-1116866.6250000044</v>
      </c>
      <c r="X163" s="19">
        <v>158435508.375</v>
      </c>
      <c r="Y163" s="19">
        <v>616409344.72084987</v>
      </c>
      <c r="Z163" s="19">
        <v>366476196.9849546</v>
      </c>
      <c r="AA163" s="4" t="s">
        <v>109</v>
      </c>
      <c r="AB163" s="4" t="s">
        <v>117</v>
      </c>
      <c r="AC163" s="4">
        <v>4.5999999999999999E-2</v>
      </c>
      <c r="AD163" s="19" t="s">
        <v>103</v>
      </c>
      <c r="AE163" s="4" t="s">
        <v>103</v>
      </c>
      <c r="AF163" s="4" t="s">
        <v>103</v>
      </c>
      <c r="AG163" s="4" t="s">
        <v>103</v>
      </c>
    </row>
    <row r="164" spans="1:33">
      <c r="A164" s="4">
        <v>45503</v>
      </c>
      <c r="B164" s="4" t="s">
        <v>293</v>
      </c>
      <c r="C164" s="4" t="s">
        <v>99</v>
      </c>
      <c r="D164" s="4" t="s">
        <v>100</v>
      </c>
      <c r="E164" s="4" t="s">
        <v>225</v>
      </c>
      <c r="F164" s="4" t="s">
        <v>102</v>
      </c>
      <c r="G164" s="4" t="s">
        <v>103</v>
      </c>
      <c r="H164" s="4" t="s">
        <v>186</v>
      </c>
      <c r="I164" s="4">
        <v>49125</v>
      </c>
      <c r="J164" s="4" t="s">
        <v>125</v>
      </c>
      <c r="K164" s="4" t="s">
        <v>126</v>
      </c>
      <c r="L164" s="4" t="s">
        <v>226</v>
      </c>
      <c r="M164" s="4" t="s">
        <v>128</v>
      </c>
      <c r="N164" s="4" t="s">
        <v>107</v>
      </c>
      <c r="O164" s="4" t="s">
        <v>188</v>
      </c>
      <c r="P164" s="19">
        <v>309561</v>
      </c>
      <c r="Q164" s="19">
        <v>103.5</v>
      </c>
      <c r="R164" s="19">
        <v>1.18</v>
      </c>
      <c r="S164" s="19">
        <v>32039563.5</v>
      </c>
      <c r="T164" s="19">
        <v>37806684.93</v>
      </c>
      <c r="U164" s="19">
        <v>102.8</v>
      </c>
      <c r="V164" s="19">
        <v>216692.70000000088</v>
      </c>
      <c r="W164" s="19">
        <v>255697.38600000102</v>
      </c>
      <c r="X164" s="19">
        <v>37806684.93</v>
      </c>
      <c r="Y164" s="19">
        <v>727363026.77060282</v>
      </c>
      <c r="Z164" s="19">
        <v>366476196.9849546</v>
      </c>
      <c r="AA164" s="4" t="s">
        <v>130</v>
      </c>
      <c r="AB164" s="4" t="s">
        <v>117</v>
      </c>
      <c r="AC164" s="4">
        <v>4.3999999999999997E-2</v>
      </c>
      <c r="AD164" s="19">
        <v>54195500</v>
      </c>
      <c r="AE164" s="4" t="s">
        <v>103</v>
      </c>
      <c r="AF164" s="4" t="s">
        <v>103</v>
      </c>
      <c r="AG164" s="4" t="s">
        <v>103</v>
      </c>
    </row>
    <row r="165" spans="1:33">
      <c r="A165" s="4">
        <v>45503</v>
      </c>
      <c r="B165" s="4" t="s">
        <v>293</v>
      </c>
      <c r="C165" s="4" t="s">
        <v>99</v>
      </c>
      <c r="D165" s="4" t="s">
        <v>100</v>
      </c>
      <c r="E165" s="4" t="s">
        <v>227</v>
      </c>
      <c r="F165" s="4" t="s">
        <v>112</v>
      </c>
      <c r="G165" s="4" t="s">
        <v>103</v>
      </c>
      <c r="H165" s="4" t="s">
        <v>100</v>
      </c>
      <c r="I165" s="4">
        <v>47938</v>
      </c>
      <c r="J165" s="4" t="s">
        <v>125</v>
      </c>
      <c r="K165" s="4" t="s">
        <v>126</v>
      </c>
      <c r="L165" s="4" t="s">
        <v>228</v>
      </c>
      <c r="M165" s="4" t="s">
        <v>229</v>
      </c>
      <c r="N165" s="4" t="s">
        <v>107</v>
      </c>
      <c r="O165" s="4" t="s">
        <v>224</v>
      </c>
      <c r="P165" s="19">
        <v>-172303.25</v>
      </c>
      <c r="Q165" s="19">
        <v>98.01</v>
      </c>
      <c r="R165" s="19">
        <v>1</v>
      </c>
      <c r="S165" s="19">
        <v>-16887441.532500003</v>
      </c>
      <c r="T165" s="19">
        <v>-16887441.532500003</v>
      </c>
      <c r="U165" s="19">
        <v>99.6</v>
      </c>
      <c r="V165" s="19">
        <v>273962.16749999812</v>
      </c>
      <c r="W165" s="19">
        <v>273962.16749999812</v>
      </c>
      <c r="X165" s="19">
        <v>-16887441.532500003</v>
      </c>
      <c r="Y165" s="19">
        <v>616409344.72084987</v>
      </c>
      <c r="Z165" s="19">
        <v>366476196.9849546</v>
      </c>
      <c r="AA165" s="4" t="s">
        <v>130</v>
      </c>
      <c r="AB165" s="4" t="s">
        <v>117</v>
      </c>
      <c r="AC165" s="4">
        <v>4.5999999999999999E-2</v>
      </c>
      <c r="AD165" s="19">
        <v>2777830</v>
      </c>
      <c r="AE165" s="4" t="s">
        <v>103</v>
      </c>
      <c r="AF165" s="4" t="s">
        <v>103</v>
      </c>
      <c r="AG165" s="4" t="s">
        <v>103</v>
      </c>
    </row>
    <row r="166" spans="1:33">
      <c r="A166" s="4">
        <v>45503</v>
      </c>
      <c r="B166" s="4" t="s">
        <v>293</v>
      </c>
      <c r="C166" s="4" t="s">
        <v>99</v>
      </c>
      <c r="D166" s="4" t="s">
        <v>100</v>
      </c>
      <c r="E166" s="4" t="s">
        <v>230</v>
      </c>
      <c r="F166" s="4" t="s">
        <v>102</v>
      </c>
      <c r="G166" s="4" t="s">
        <v>103</v>
      </c>
      <c r="H166" s="4" t="s">
        <v>113</v>
      </c>
      <c r="I166" s="4">
        <v>48730</v>
      </c>
      <c r="J166" s="4" t="s">
        <v>125</v>
      </c>
      <c r="K166" s="4" t="s">
        <v>126</v>
      </c>
      <c r="L166" s="4" t="s">
        <v>231</v>
      </c>
      <c r="M166" s="4" t="s">
        <v>232</v>
      </c>
      <c r="N166" s="4" t="s">
        <v>107</v>
      </c>
      <c r="O166" s="4" t="s">
        <v>115</v>
      </c>
      <c r="P166" s="19">
        <v>272634.25</v>
      </c>
      <c r="Q166" s="19">
        <v>105.06</v>
      </c>
      <c r="R166" s="19">
        <v>0.92</v>
      </c>
      <c r="S166" s="19">
        <v>28642954.305</v>
      </c>
      <c r="T166" s="19">
        <v>26351517.9606</v>
      </c>
      <c r="U166" s="19">
        <v>104.9</v>
      </c>
      <c r="V166" s="19">
        <v>43621.479999999072</v>
      </c>
      <c r="W166" s="19">
        <v>40131.761599999147</v>
      </c>
      <c r="X166" s="19">
        <v>26351517.960600004</v>
      </c>
      <c r="Y166" s="19">
        <v>567096597.14318192</v>
      </c>
      <c r="Z166" s="19">
        <v>366476196.9849546</v>
      </c>
      <c r="AA166" s="4" t="s">
        <v>116</v>
      </c>
      <c r="AB166" s="4" t="s">
        <v>117</v>
      </c>
      <c r="AC166" s="4">
        <v>4.3999999999999997E-2</v>
      </c>
      <c r="AD166" s="19">
        <v>9534500</v>
      </c>
      <c r="AE166" s="4" t="s">
        <v>103</v>
      </c>
      <c r="AF166" s="4" t="s">
        <v>103</v>
      </c>
      <c r="AG166" s="4" t="s">
        <v>103</v>
      </c>
    </row>
    <row r="167" spans="1:33">
      <c r="A167" s="4">
        <v>45503</v>
      </c>
      <c r="B167" s="4" t="s">
        <v>293</v>
      </c>
      <c r="C167" s="4" t="s">
        <v>99</v>
      </c>
      <c r="D167" s="4" t="s">
        <v>100</v>
      </c>
      <c r="E167" s="4" t="s">
        <v>233</v>
      </c>
      <c r="F167" s="4" t="s">
        <v>102</v>
      </c>
      <c r="G167" s="4" t="s">
        <v>157</v>
      </c>
      <c r="H167" s="4" t="s">
        <v>100</v>
      </c>
      <c r="I167" s="4">
        <v>45621</v>
      </c>
      <c r="J167" s="4" t="s">
        <v>147</v>
      </c>
      <c r="K167" s="4" t="s">
        <v>234</v>
      </c>
      <c r="L167" s="4" t="s">
        <v>235</v>
      </c>
      <c r="M167" s="4" t="s">
        <v>236</v>
      </c>
      <c r="N167" s="4" t="s">
        <v>103</v>
      </c>
      <c r="O167" s="4" t="s">
        <v>224</v>
      </c>
      <c r="P167" s="19">
        <v>24469</v>
      </c>
      <c r="Q167" s="19">
        <v>1.24</v>
      </c>
      <c r="R167" s="19">
        <v>1</v>
      </c>
      <c r="S167" s="19">
        <v>30341.56</v>
      </c>
      <c r="T167" s="19">
        <v>30341.56</v>
      </c>
      <c r="U167" s="19">
        <v>1.26</v>
      </c>
      <c r="V167" s="19">
        <v>-489.38000000000045</v>
      </c>
      <c r="W167" s="19">
        <v>-489.38000000000045</v>
      </c>
      <c r="X167" s="19">
        <v>30341.56</v>
      </c>
      <c r="Y167" s="19">
        <v>616409344.72084987</v>
      </c>
      <c r="Z167" s="19">
        <v>366476196.9849546</v>
      </c>
      <c r="AA167" s="4" t="s">
        <v>116</v>
      </c>
      <c r="AB167" s="4" t="s">
        <v>117</v>
      </c>
      <c r="AC167" s="4" t="s">
        <v>103</v>
      </c>
      <c r="AD167" s="19" t="s">
        <v>103</v>
      </c>
      <c r="AE167" s="4" t="s">
        <v>237</v>
      </c>
      <c r="AF167" s="4" t="s">
        <v>105</v>
      </c>
      <c r="AG167" s="4" t="s">
        <v>33</v>
      </c>
    </row>
    <row r="168" spans="1:33">
      <c r="A168" s="4">
        <v>45503</v>
      </c>
      <c r="B168" s="4" t="s">
        <v>293</v>
      </c>
      <c r="C168" s="4" t="s">
        <v>99</v>
      </c>
      <c r="D168" s="4" t="s">
        <v>100</v>
      </c>
      <c r="E168" s="4" t="s">
        <v>238</v>
      </c>
      <c r="F168" s="4" t="s">
        <v>102</v>
      </c>
      <c r="G168" s="4" t="s">
        <v>239</v>
      </c>
      <c r="H168" s="4" t="s">
        <v>113</v>
      </c>
      <c r="I168" s="4">
        <v>45621</v>
      </c>
      <c r="J168" s="4" t="s">
        <v>147</v>
      </c>
      <c r="K168" s="4" t="s">
        <v>234</v>
      </c>
      <c r="L168" s="4" t="s">
        <v>240</v>
      </c>
      <c r="M168" s="4" t="s">
        <v>240</v>
      </c>
      <c r="N168" s="4" t="s">
        <v>103</v>
      </c>
      <c r="O168" s="4" t="s">
        <v>115</v>
      </c>
      <c r="P168" s="19">
        <v>284081</v>
      </c>
      <c r="Q168" s="19">
        <v>1.1000000000000001</v>
      </c>
      <c r="R168" s="19">
        <v>0.92</v>
      </c>
      <c r="S168" s="19">
        <v>312489.10000000003</v>
      </c>
      <c r="T168" s="19">
        <v>287489.97200000007</v>
      </c>
      <c r="U168" s="19">
        <v>0.1</v>
      </c>
      <c r="V168" s="19">
        <v>284081</v>
      </c>
      <c r="W168" s="19">
        <v>261354.52000000002</v>
      </c>
      <c r="X168" s="19">
        <v>287489.97200000007</v>
      </c>
      <c r="Y168" s="19">
        <v>567096597.14318192</v>
      </c>
      <c r="Z168" s="19">
        <v>366476196.9849546</v>
      </c>
      <c r="AA168" s="4" t="s">
        <v>109</v>
      </c>
      <c r="AB168" s="4" t="s">
        <v>110</v>
      </c>
      <c r="AC168" s="4" t="s">
        <v>103</v>
      </c>
      <c r="AD168" s="19" t="s">
        <v>103</v>
      </c>
      <c r="AE168" s="4" t="s">
        <v>240</v>
      </c>
      <c r="AF168" s="4" t="s">
        <v>105</v>
      </c>
      <c r="AG168" s="4" t="s">
        <v>33</v>
      </c>
    </row>
    <row r="169" spans="1:33">
      <c r="A169" s="4">
        <v>45503</v>
      </c>
      <c r="B169" s="4" t="s">
        <v>293</v>
      </c>
      <c r="C169" s="4" t="s">
        <v>99</v>
      </c>
      <c r="D169" s="4" t="s">
        <v>100</v>
      </c>
      <c r="E169" s="4" t="s">
        <v>241</v>
      </c>
      <c r="F169" s="4" t="s">
        <v>112</v>
      </c>
      <c r="G169" s="4" t="s">
        <v>172</v>
      </c>
      <c r="H169" s="4" t="s">
        <v>113</v>
      </c>
      <c r="I169" s="4" t="s">
        <v>103</v>
      </c>
      <c r="J169" s="4" t="s">
        <v>44</v>
      </c>
      <c r="K169" s="4" t="s">
        <v>242</v>
      </c>
      <c r="L169" s="4" t="s">
        <v>103</v>
      </c>
      <c r="M169" s="4" t="s">
        <v>103</v>
      </c>
      <c r="N169" s="4" t="s">
        <v>103</v>
      </c>
      <c r="O169" s="4" t="s">
        <v>115</v>
      </c>
      <c r="P169" s="19">
        <v>-4783889</v>
      </c>
      <c r="Q169" s="19">
        <v>1</v>
      </c>
      <c r="R169" s="19">
        <v>0.92</v>
      </c>
      <c r="S169" s="19">
        <v>-4783889</v>
      </c>
      <c r="T169" s="19">
        <v>-4401177.88</v>
      </c>
      <c r="U169" s="19">
        <v>1</v>
      </c>
      <c r="V169" s="19">
        <v>-4783889</v>
      </c>
      <c r="W169" s="19">
        <v>-4401177.88</v>
      </c>
      <c r="X169" s="19">
        <v>-4401177.88</v>
      </c>
      <c r="Y169" s="19">
        <v>567096597.14318192</v>
      </c>
      <c r="Z169" s="19">
        <v>366476196.9849546</v>
      </c>
      <c r="AA169" s="4" t="s">
        <v>116</v>
      </c>
      <c r="AB169" s="4" t="s">
        <v>117</v>
      </c>
      <c r="AC169" s="4" t="s">
        <v>103</v>
      </c>
      <c r="AD169" s="19" t="s">
        <v>103</v>
      </c>
      <c r="AE169" s="4" t="s">
        <v>103</v>
      </c>
      <c r="AF169" s="4" t="s">
        <v>103</v>
      </c>
      <c r="AG169" s="4" t="s">
        <v>103</v>
      </c>
    </row>
    <row r="170" spans="1:33">
      <c r="A170" s="4">
        <v>45503</v>
      </c>
      <c r="B170" s="4" t="s">
        <v>293</v>
      </c>
      <c r="C170" s="4" t="s">
        <v>99</v>
      </c>
      <c r="D170" s="4" t="s">
        <v>100</v>
      </c>
      <c r="E170" s="4" t="s">
        <v>243</v>
      </c>
      <c r="F170" s="4" t="s">
        <v>102</v>
      </c>
      <c r="G170" s="4" t="s">
        <v>244</v>
      </c>
      <c r="H170" s="4" t="s">
        <v>100</v>
      </c>
      <c r="I170" s="4" t="s">
        <v>103</v>
      </c>
      <c r="J170" s="4" t="s">
        <v>44</v>
      </c>
      <c r="K170" s="4" t="s">
        <v>242</v>
      </c>
      <c r="L170" s="4" t="s">
        <v>103</v>
      </c>
      <c r="M170" s="4" t="s">
        <v>103</v>
      </c>
      <c r="N170" s="4" t="s">
        <v>103</v>
      </c>
      <c r="O170" s="4" t="s">
        <v>245</v>
      </c>
      <c r="P170" s="19">
        <v>9677271</v>
      </c>
      <c r="Q170" s="19">
        <v>1</v>
      </c>
      <c r="R170" s="19">
        <v>1</v>
      </c>
      <c r="S170" s="19">
        <v>9677271</v>
      </c>
      <c r="T170" s="19">
        <v>9677271</v>
      </c>
      <c r="U170" s="19">
        <v>1</v>
      </c>
      <c r="V170" s="19">
        <v>9677271</v>
      </c>
      <c r="W170" s="19">
        <v>9677271</v>
      </c>
      <c r="X170" s="19">
        <v>9677271</v>
      </c>
      <c r="Y170" s="19">
        <v>616409344.72084987</v>
      </c>
      <c r="Z170" s="19">
        <v>366476196.9849546</v>
      </c>
      <c r="AA170" s="4" t="s">
        <v>116</v>
      </c>
      <c r="AB170" s="4" t="s">
        <v>117</v>
      </c>
      <c r="AC170" s="4" t="s">
        <v>103</v>
      </c>
      <c r="AD170" s="19" t="s">
        <v>103</v>
      </c>
      <c r="AE170" s="4" t="s">
        <v>103</v>
      </c>
      <c r="AF170" s="4" t="s">
        <v>103</v>
      </c>
      <c r="AG170" s="4" t="s">
        <v>103</v>
      </c>
    </row>
    <row r="171" spans="1:33">
      <c r="A171" s="4">
        <v>45503</v>
      </c>
      <c r="B171" s="4" t="s">
        <v>293</v>
      </c>
      <c r="C171" s="4" t="s">
        <v>99</v>
      </c>
      <c r="D171" s="4" t="s">
        <v>100</v>
      </c>
      <c r="E171" s="4" t="s">
        <v>241</v>
      </c>
      <c r="F171" s="4" t="s">
        <v>102</v>
      </c>
      <c r="G171" s="4" t="s">
        <v>244</v>
      </c>
      <c r="H171" s="4" t="s">
        <v>113</v>
      </c>
      <c r="I171" s="4" t="s">
        <v>103</v>
      </c>
      <c r="J171" s="4" t="s">
        <v>44</v>
      </c>
      <c r="K171" s="4" t="s">
        <v>242</v>
      </c>
      <c r="L171" s="4" t="s">
        <v>103</v>
      </c>
      <c r="M171" s="4" t="s">
        <v>103</v>
      </c>
      <c r="N171" s="4" t="s">
        <v>103</v>
      </c>
      <c r="O171" s="4" t="s">
        <v>245</v>
      </c>
      <c r="P171" s="19">
        <v>7741816.8000000007</v>
      </c>
      <c r="Q171" s="19">
        <v>1</v>
      </c>
      <c r="R171" s="19">
        <v>0.92</v>
      </c>
      <c r="S171" s="19">
        <v>7741816.8000000007</v>
      </c>
      <c r="T171" s="19">
        <v>7122471.4560000012</v>
      </c>
      <c r="U171" s="19">
        <v>1</v>
      </c>
      <c r="V171" s="19">
        <v>7741816.8000000007</v>
      </c>
      <c r="W171" s="19">
        <v>7122471.4560000012</v>
      </c>
      <c r="X171" s="19">
        <v>7122471.4560000012</v>
      </c>
      <c r="Y171" s="19">
        <v>567096597.14318192</v>
      </c>
      <c r="Z171" s="19">
        <v>366476196.9849546</v>
      </c>
      <c r="AA171" s="4" t="s">
        <v>116</v>
      </c>
      <c r="AB171" s="4" t="s">
        <v>117</v>
      </c>
      <c r="AC171" s="4" t="s">
        <v>103</v>
      </c>
      <c r="AD171" s="19" t="s">
        <v>103</v>
      </c>
      <c r="AE171" s="4" t="s">
        <v>103</v>
      </c>
      <c r="AF171" s="4" t="s">
        <v>103</v>
      </c>
      <c r="AG171" s="4" t="s">
        <v>103</v>
      </c>
    </row>
    <row r="172" spans="1:33">
      <c r="A172" s="4">
        <v>45503</v>
      </c>
      <c r="B172" s="4" t="s">
        <v>293</v>
      </c>
      <c r="C172" s="4" t="s">
        <v>99</v>
      </c>
      <c r="D172" s="4" t="s">
        <v>100</v>
      </c>
      <c r="E172" s="4" t="s">
        <v>243</v>
      </c>
      <c r="F172" s="4" t="s">
        <v>102</v>
      </c>
      <c r="G172" s="4" t="s">
        <v>246</v>
      </c>
      <c r="H172" s="4" t="s">
        <v>100</v>
      </c>
      <c r="I172" s="4" t="s">
        <v>103</v>
      </c>
      <c r="J172" s="4" t="s">
        <v>44</v>
      </c>
      <c r="K172" s="4" t="s">
        <v>242</v>
      </c>
      <c r="L172" s="4" t="s">
        <v>103</v>
      </c>
      <c r="M172" s="4" t="s">
        <v>103</v>
      </c>
      <c r="N172" s="4" t="s">
        <v>103</v>
      </c>
      <c r="O172" s="4" t="s">
        <v>153</v>
      </c>
      <c r="P172" s="19">
        <v>9193407.4499999993</v>
      </c>
      <c r="Q172" s="19">
        <v>1</v>
      </c>
      <c r="R172" s="19">
        <v>1</v>
      </c>
      <c r="S172" s="19">
        <v>9193407.4499999993</v>
      </c>
      <c r="T172" s="19">
        <v>9193407.4499999993</v>
      </c>
      <c r="U172" s="19">
        <v>1</v>
      </c>
      <c r="V172" s="19">
        <v>9193407.4499999993</v>
      </c>
      <c r="W172" s="19">
        <v>9193407.4499999993</v>
      </c>
      <c r="X172" s="19">
        <v>9193407.4499999993</v>
      </c>
      <c r="Y172" s="19">
        <v>616409344.72084987</v>
      </c>
      <c r="Z172" s="19">
        <v>366476196.9849546</v>
      </c>
      <c r="AA172" s="4" t="s">
        <v>116</v>
      </c>
      <c r="AB172" s="4" t="s">
        <v>117</v>
      </c>
      <c r="AC172" s="4" t="s">
        <v>103</v>
      </c>
      <c r="AD172" s="19" t="s">
        <v>103</v>
      </c>
      <c r="AE172" s="4" t="s">
        <v>103</v>
      </c>
      <c r="AF172" s="4" t="s">
        <v>103</v>
      </c>
      <c r="AG172" s="4" t="s">
        <v>103</v>
      </c>
    </row>
    <row r="173" spans="1:33">
      <c r="A173" s="4">
        <v>45503</v>
      </c>
      <c r="B173" s="4" t="s">
        <v>293</v>
      </c>
      <c r="C173" s="4" t="s">
        <v>99</v>
      </c>
      <c r="D173" s="4" t="s">
        <v>100</v>
      </c>
      <c r="E173" s="4" t="s">
        <v>247</v>
      </c>
      <c r="F173" s="4" t="s">
        <v>112</v>
      </c>
      <c r="G173" s="4" t="s">
        <v>172</v>
      </c>
      <c r="H173" s="4" t="s">
        <v>113</v>
      </c>
      <c r="I173" s="4">
        <v>45575</v>
      </c>
      <c r="J173" s="4" t="s">
        <v>248</v>
      </c>
      <c r="K173" s="4" t="s">
        <v>43</v>
      </c>
      <c r="L173" s="4" t="s">
        <v>103</v>
      </c>
      <c r="M173" s="4" t="s">
        <v>103</v>
      </c>
      <c r="N173" s="4" t="s">
        <v>103</v>
      </c>
      <c r="O173" s="4" t="s">
        <v>115</v>
      </c>
      <c r="P173" s="19">
        <v>-34760800</v>
      </c>
      <c r="Q173" s="19">
        <v>0.91200000000000003</v>
      </c>
      <c r="R173" s="19">
        <v>0.92</v>
      </c>
      <c r="S173" s="19">
        <v>-660455.20000000054</v>
      </c>
      <c r="T173" s="19">
        <v>-607618.78400000057</v>
      </c>
      <c r="U173" s="19">
        <v>0.89300000000000002</v>
      </c>
      <c r="V173" s="19">
        <v>-660455.20000000054</v>
      </c>
      <c r="W173" s="19">
        <v>-607618.78400000057</v>
      </c>
      <c r="X173" s="19">
        <v>-29165701.632000003</v>
      </c>
      <c r="Y173" s="19">
        <v>567096597.14318192</v>
      </c>
      <c r="Z173" s="19">
        <v>366476196.9849546</v>
      </c>
      <c r="AA173" s="4" t="s">
        <v>116</v>
      </c>
      <c r="AB173" s="4" t="s">
        <v>117</v>
      </c>
      <c r="AC173" s="4" t="s">
        <v>103</v>
      </c>
      <c r="AD173" s="19" t="s">
        <v>103</v>
      </c>
      <c r="AE173" s="4" t="s">
        <v>103</v>
      </c>
      <c r="AF173" s="4" t="s">
        <v>103</v>
      </c>
      <c r="AG173" s="4" t="s">
        <v>103</v>
      </c>
    </row>
    <row r="174" spans="1:33">
      <c r="A174" s="4">
        <v>45503</v>
      </c>
      <c r="B174" s="4" t="s">
        <v>293</v>
      </c>
      <c r="C174" s="4" t="s">
        <v>99</v>
      </c>
      <c r="D174" s="4" t="s">
        <v>100</v>
      </c>
      <c r="E174" s="4" t="s">
        <v>249</v>
      </c>
      <c r="F174" s="4" t="s">
        <v>102</v>
      </c>
      <c r="G174" s="4" t="s">
        <v>246</v>
      </c>
      <c r="H174" s="4" t="s">
        <v>137</v>
      </c>
      <c r="I174" s="4">
        <v>45561</v>
      </c>
      <c r="J174" s="4" t="s">
        <v>248</v>
      </c>
      <c r="K174" s="4" t="s">
        <v>43</v>
      </c>
      <c r="L174" s="4" t="s">
        <v>103</v>
      </c>
      <c r="M174" s="4" t="s">
        <v>103</v>
      </c>
      <c r="N174" s="4" t="s">
        <v>103</v>
      </c>
      <c r="O174" s="4" t="s">
        <v>153</v>
      </c>
      <c r="P174" s="19">
        <v>35472800</v>
      </c>
      <c r="Q174" s="19">
        <v>6.5000000000000002E-2</v>
      </c>
      <c r="R174" s="19">
        <v>6.2E-2</v>
      </c>
      <c r="S174" s="19">
        <v>-141891.20000000013</v>
      </c>
      <c r="T174" s="19">
        <v>-8797.2544000000071</v>
      </c>
      <c r="U174" s="19">
        <v>6.9000000000000006E-2</v>
      </c>
      <c r="V174" s="19">
        <v>-141891.20000000013</v>
      </c>
      <c r="W174" s="19">
        <v>-8797.2544000000071</v>
      </c>
      <c r="X174" s="19">
        <v>142955.38399999999</v>
      </c>
      <c r="Y174" s="19">
        <v>38217379.372692689</v>
      </c>
      <c r="Z174" s="19">
        <v>366476196.9849546</v>
      </c>
      <c r="AA174" s="4" t="s">
        <v>130</v>
      </c>
      <c r="AB174" s="4" t="s">
        <v>117</v>
      </c>
      <c r="AC174" s="4" t="s">
        <v>103</v>
      </c>
      <c r="AD174" s="19" t="s">
        <v>103</v>
      </c>
      <c r="AE174" s="4" t="s">
        <v>103</v>
      </c>
      <c r="AF174" s="4" t="s">
        <v>103</v>
      </c>
      <c r="AG174" s="4" t="s">
        <v>103</v>
      </c>
    </row>
    <row r="175" spans="1:33">
      <c r="A175" s="4">
        <v>45503</v>
      </c>
      <c r="B175" s="4" t="s">
        <v>293</v>
      </c>
      <c r="C175" s="4" t="s">
        <v>99</v>
      </c>
      <c r="D175" s="4" t="s">
        <v>100</v>
      </c>
      <c r="E175" s="4" t="s">
        <v>250</v>
      </c>
      <c r="F175" s="4" t="s">
        <v>102</v>
      </c>
      <c r="G175" s="4" t="s">
        <v>202</v>
      </c>
      <c r="H175" s="4" t="s">
        <v>203</v>
      </c>
      <c r="I175" s="4">
        <v>45559</v>
      </c>
      <c r="J175" s="4" t="s">
        <v>248</v>
      </c>
      <c r="K175" s="4" t="s">
        <v>43</v>
      </c>
      <c r="L175" s="4" t="s">
        <v>103</v>
      </c>
      <c r="M175" s="4" t="s">
        <v>103</v>
      </c>
      <c r="N175" s="4" t="s">
        <v>103</v>
      </c>
      <c r="O175" s="4" t="s">
        <v>245</v>
      </c>
      <c r="P175" s="19">
        <v>75399300</v>
      </c>
      <c r="Q175" s="19">
        <v>0.14000000000000001</v>
      </c>
      <c r="R175" s="19">
        <v>0.13</v>
      </c>
      <c r="S175" s="19">
        <v>753993.0000000007</v>
      </c>
      <c r="T175" s="19">
        <v>98019.090000000098</v>
      </c>
      <c r="U175" s="19">
        <v>0.13</v>
      </c>
      <c r="V175" s="19">
        <v>753993.0000000007</v>
      </c>
      <c r="W175" s="19">
        <v>98019.090000000098</v>
      </c>
      <c r="X175" s="19">
        <v>1372267.26</v>
      </c>
      <c r="Y175" s="19">
        <v>80133214.813710481</v>
      </c>
      <c r="Z175" s="19">
        <v>366476196.9849546</v>
      </c>
      <c r="AA175" s="4" t="s">
        <v>130</v>
      </c>
      <c r="AB175" s="4" t="s">
        <v>117</v>
      </c>
      <c r="AC175" s="4" t="s">
        <v>103</v>
      </c>
      <c r="AD175" s="19" t="s">
        <v>103</v>
      </c>
      <c r="AE175" s="4" t="s">
        <v>103</v>
      </c>
      <c r="AF175" s="4" t="s">
        <v>103</v>
      </c>
      <c r="AG175" s="4" t="s">
        <v>103</v>
      </c>
    </row>
    <row r="176" spans="1:33">
      <c r="A176" s="4">
        <v>45503</v>
      </c>
      <c r="B176" s="4" t="s">
        <v>293</v>
      </c>
      <c r="C176" s="4" t="s">
        <v>99</v>
      </c>
      <c r="D176" s="4" t="s">
        <v>100</v>
      </c>
      <c r="E176" s="4" t="s">
        <v>251</v>
      </c>
      <c r="F176" s="4" t="s">
        <v>102</v>
      </c>
      <c r="G176" s="4" t="s">
        <v>191</v>
      </c>
      <c r="H176" s="4" t="s">
        <v>169</v>
      </c>
      <c r="I176" s="4">
        <v>45589</v>
      </c>
      <c r="J176" s="4" t="s">
        <v>248</v>
      </c>
      <c r="K176" s="4" t="s">
        <v>43</v>
      </c>
      <c r="L176" s="4" t="s">
        <v>103</v>
      </c>
      <c r="M176" s="4" t="s">
        <v>103</v>
      </c>
      <c r="N176" s="4" t="s">
        <v>103</v>
      </c>
      <c r="O176" s="4" t="s">
        <v>245</v>
      </c>
      <c r="P176" s="19">
        <v>46574800</v>
      </c>
      <c r="Q176" s="19">
        <v>1.1100000000000001</v>
      </c>
      <c r="R176" s="19">
        <v>1.06</v>
      </c>
      <c r="S176" s="19">
        <v>1862992.0000000016</v>
      </c>
      <c r="T176" s="19">
        <v>1974771.5200000019</v>
      </c>
      <c r="U176" s="19">
        <v>1.07</v>
      </c>
      <c r="V176" s="19">
        <v>1862992.0000000016</v>
      </c>
      <c r="W176" s="19">
        <v>1974771.5200000019</v>
      </c>
      <c r="X176" s="19">
        <v>54799909.680000007</v>
      </c>
      <c r="Y176" s="19">
        <v>653393905.40410089</v>
      </c>
      <c r="Z176" s="19">
        <v>366476196.9849546</v>
      </c>
      <c r="AA176" s="4" t="s">
        <v>130</v>
      </c>
      <c r="AB176" s="4" t="s">
        <v>117</v>
      </c>
      <c r="AC176" s="4" t="s">
        <v>103</v>
      </c>
      <c r="AD176" s="19" t="s">
        <v>103</v>
      </c>
      <c r="AE176" s="4" t="s">
        <v>103</v>
      </c>
      <c r="AF176" s="4" t="s">
        <v>103</v>
      </c>
      <c r="AG176" s="4" t="s">
        <v>103</v>
      </c>
    </row>
    <row r="177" spans="1:33">
      <c r="A177" s="4">
        <v>45503</v>
      </c>
      <c r="B177" s="4" t="s">
        <v>293</v>
      </c>
      <c r="C177" s="4" t="s">
        <v>99</v>
      </c>
      <c r="D177" s="4" t="s">
        <v>100</v>
      </c>
      <c r="E177" s="4" t="s">
        <v>252</v>
      </c>
      <c r="F177" s="4" t="s">
        <v>102</v>
      </c>
      <c r="G177" s="4" t="s">
        <v>157</v>
      </c>
      <c r="H177" s="4" t="s">
        <v>100</v>
      </c>
      <c r="I177" s="4">
        <v>45565</v>
      </c>
      <c r="J177" s="4" t="s">
        <v>147</v>
      </c>
      <c r="K177" s="4" t="s">
        <v>148</v>
      </c>
      <c r="L177" s="4" t="s">
        <v>28</v>
      </c>
      <c r="M177" s="4" t="s">
        <v>28</v>
      </c>
      <c r="N177" s="4" t="s">
        <v>103</v>
      </c>
      <c r="O177" s="4" t="s">
        <v>224</v>
      </c>
      <c r="P177" s="19">
        <v>6540076</v>
      </c>
      <c r="Q177" s="19">
        <v>46.14</v>
      </c>
      <c r="R177" s="19">
        <v>1</v>
      </c>
      <c r="S177" s="19">
        <v>-7128682.8399999756</v>
      </c>
      <c r="T177" s="19">
        <v>-7128682.8399999756</v>
      </c>
      <c r="U177" s="19">
        <v>47.23</v>
      </c>
      <c r="V177" s="19">
        <v>-7128682.8399999756</v>
      </c>
      <c r="W177" s="19">
        <v>-7128682.8399999756</v>
      </c>
      <c r="X177" s="19">
        <v>301759106.63999999</v>
      </c>
      <c r="Y177" s="19">
        <v>616409344.72084987</v>
      </c>
      <c r="Z177" s="19">
        <v>366476196.9849546</v>
      </c>
      <c r="AA177" s="4" t="s">
        <v>130</v>
      </c>
      <c r="AB177" s="4" t="s">
        <v>117</v>
      </c>
      <c r="AC177" s="4">
        <v>3.9E-2</v>
      </c>
      <c r="AD177" s="19" t="s">
        <v>103</v>
      </c>
      <c r="AE177" s="4" t="s">
        <v>253</v>
      </c>
      <c r="AF177" s="4" t="s">
        <v>125</v>
      </c>
      <c r="AG177" s="4" t="s">
        <v>159</v>
      </c>
    </row>
  </sheetData>
  <conditionalFormatting sqref="F3:F45">
    <cfRule type="containsText" dxfId="88" priority="1" operator="containsText" text="Short">
      <formula>NOT(ISERROR(SEARCH("Short",F3)))</formula>
    </cfRule>
    <cfRule type="containsText" dxfId="87" priority="2" operator="containsText" text="Short">
      <formula>NOT(ISERROR(SEARCH("Short",F3)))</formula>
    </cfRule>
    <cfRule type="containsText" dxfId="86" priority="3" operator="containsText" text="Short">
      <formula>NOT(ISERROR(SEARCH("Short",F3)))</formula>
    </cfRule>
    <cfRule type="containsText" dxfId="85" priority="4" operator="containsText" text="Short">
      <formula>NOT(ISERROR(SEARCH("Short",F3)))</formula>
    </cfRule>
    <cfRule type="containsText" dxfId="84" priority="5" operator="containsText" text="Short">
      <formula>NOT(ISERROR(SEARCH("Short",F3)))</formula>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F3027-6278-4FDB-9A91-9EDC96D8FE6F}">
  <sheetPr codeName="Sheet7"/>
  <dimension ref="A1:D4"/>
  <sheetViews>
    <sheetView workbookViewId="0"/>
  </sheetViews>
  <sheetFormatPr defaultRowHeight="13.2"/>
  <sheetData>
    <row r="1" spans="1:4">
      <c r="A1" t="s">
        <v>267</v>
      </c>
      <c r="B1" t="s">
        <v>268</v>
      </c>
      <c r="C1" t="s">
        <v>269</v>
      </c>
      <c r="D1" t="s">
        <v>270</v>
      </c>
    </row>
    <row r="2" spans="1:4">
      <c r="A2" t="s">
        <v>9</v>
      </c>
      <c r="B2" t="s">
        <v>19</v>
      </c>
      <c r="C2" t="s">
        <v>10</v>
      </c>
      <c r="D2" t="s">
        <v>20</v>
      </c>
    </row>
    <row r="3" spans="1:4">
      <c r="A3" t="s">
        <v>23</v>
      </c>
      <c r="B3" t="s">
        <v>11</v>
      </c>
      <c r="C3" t="s">
        <v>16</v>
      </c>
      <c r="D3" t="s">
        <v>24</v>
      </c>
    </row>
    <row r="4" spans="1:4">
      <c r="A4" t="s">
        <v>29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4E42-4763-4E31-9A8E-379BEE4B96B2}">
  <sheetPr codeName="Sheet6"/>
  <dimension ref="A1:X38"/>
  <sheetViews>
    <sheetView tabSelected="1" zoomScale="70" zoomScaleNormal="70" workbookViewId="0"/>
  </sheetViews>
  <sheetFormatPr defaultColWidth="0" defaultRowHeight="13.2" zeroHeight="1"/>
  <cols>
    <col min="1" max="10" width="8.88671875" customWidth="1"/>
    <col min="11" max="11" width="9.6640625" customWidth="1"/>
    <col min="12" max="20" width="8.88671875" customWidth="1"/>
    <col min="21" max="21" width="17.77734375" customWidth="1"/>
    <col min="22" max="23" width="16.5546875" customWidth="1"/>
    <col min="24" max="24" width="0" hidden="1" customWidth="1"/>
    <col min="25" max="16384" width="8.88671875" hidden="1"/>
  </cols>
  <sheetData>
    <row r="1" customFormat="1"/>
    <row r="2" customFormat="1"/>
    <row r="3" customFormat="1"/>
    <row r="4" customFormat="1"/>
    <row r="5" customFormat="1"/>
    <row r="6" customFormat="1"/>
    <row r="7" customFormat="1"/>
    <row r="8" customFormat="1"/>
    <row r="9" customFormat="1"/>
    <row r="10" customFormat="1"/>
    <row r="11" customFormat="1"/>
    <row r="12" customFormat="1"/>
    <row r="13" customFormat="1"/>
    <row r="14" customFormat="1"/>
    <row r="15" customFormat="1"/>
    <row r="16" customFormat="1"/>
    <row r="17" customFormat="1"/>
    <row r="18" customFormat="1"/>
    <row r="19" customFormat="1"/>
    <row r="20" customFormat="1"/>
    <row r="21" customFormat="1"/>
    <row r="22" customFormat="1"/>
    <row r="23" customFormat="1"/>
    <row r="24" customFormat="1"/>
    <row r="25" customFormat="1"/>
    <row r="26" customFormat="1"/>
    <row r="27" customFormat="1"/>
    <row r="28" customFormat="1"/>
    <row r="29" customFormat="1"/>
    <row r="30" customFormat="1"/>
    <row r="31" customFormat="1"/>
    <row r="32" customFormat="1"/>
    <row r="33" customFormat="1" hidden="1"/>
    <row r="34" customFormat="1" hidden="1"/>
    <row r="35" customFormat="1" hidden="1"/>
    <row r="36" customFormat="1" hidden="1"/>
    <row r="37" customFormat="1" hidden="1"/>
    <row r="38" customFormat="1" hidden="1"/>
  </sheetData>
  <pageMargins left="0.7" right="0.7" top="0.75" bottom="0.75" header="0.3" footer="0.3"/>
  <drawing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A78E004-6F71-44A3-B8DC-01F736C33902}">
          <x14:formula1>
            <xm:f>Validation!$A$2:$A$4</xm:f>
          </x14:formula1>
          <xm:sqref>A2:A100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0B472-A90B-4282-B93E-1814D476BEEE}">
  <sheetPr codeName="Sheet9"/>
  <dimension ref="A1:XFD49"/>
  <sheetViews>
    <sheetView zoomScale="55" zoomScaleNormal="55" workbookViewId="0">
      <selection activeCell="M49" sqref="M49"/>
    </sheetView>
  </sheetViews>
  <sheetFormatPr defaultColWidth="0" defaultRowHeight="13.2" zeroHeight="1"/>
  <cols>
    <col min="1" max="5" width="8.88671875" style="122" customWidth="1"/>
    <col min="6" max="6" width="13.6640625" style="122" customWidth="1"/>
    <col min="7" max="7" width="10.33203125" style="122" customWidth="1"/>
    <col min="8" max="8" width="27.88671875" style="122" customWidth="1"/>
    <col min="9" max="9" width="36" style="122" customWidth="1"/>
    <col min="10" max="10" width="33" style="122" bestFit="1" customWidth="1"/>
    <col min="11" max="11" width="31" style="122" bestFit="1" customWidth="1"/>
    <col min="12" max="16" width="27.88671875" style="122" customWidth="1"/>
    <col min="17" max="18" width="8.88671875" style="122" customWidth="1"/>
    <col min="19" max="20" width="8.88671875" hidden="1"/>
    <col min="21" max="21" width="11.5546875" hidden="1"/>
    <col min="22" max="22" width="20.21875" hidden="1"/>
    <col min="23" max="29" width="8.88671875" hidden="1"/>
    <col min="30" max="30" width="11.5546875" hidden="1"/>
    <col min="31" max="31" width="21" hidden="1"/>
    <col min="32" max="41" width="8.88671875" hidden="1"/>
    <col min="42" max="42" width="11.5546875" hidden="1"/>
    <col min="43" max="16380" width="8.88671875" hidden="1"/>
    <col min="16381" max="16381" width="0.5546875" hidden="1"/>
    <col min="16382" max="16382" width="8.33203125" hidden="1"/>
    <col min="16383" max="16383" width="14.88671875" hidden="1"/>
    <col min="16384" max="16384" width="8.88671875" hidden="1"/>
  </cols>
  <sheetData>
    <row r="1" spans="2:43"/>
    <row r="2" spans="2:43">
      <c r="J2" s="182"/>
      <c r="AP2" s="83" t="s">
        <v>301</v>
      </c>
      <c r="AQ2" s="83" t="s">
        <v>302</v>
      </c>
    </row>
    <row r="3" spans="2:43" ht="23.4">
      <c r="B3" s="191" t="s">
        <v>330</v>
      </c>
      <c r="C3" s="191"/>
      <c r="D3" s="191"/>
      <c r="E3" s="191"/>
      <c r="F3" s="191"/>
      <c r="J3" s="193" t="s">
        <v>358</v>
      </c>
      <c r="K3" s="193"/>
      <c r="L3" s="193"/>
      <c r="M3" s="193"/>
      <c r="AP3" t="str">
        <f>'List of Compliance Rules'!XER2</f>
        <v>Prospectus</v>
      </c>
      <c r="AQ3" t="str">
        <f>'List of Compliance Rules'!XES2</f>
        <v>Fund Exposure</v>
      </c>
    </row>
    <row r="4" spans="2:43">
      <c r="AP4" t="str">
        <f>'List of Compliance Rules'!XER3</f>
        <v>Regulation</v>
      </c>
      <c r="AQ4" t="str">
        <f>'List of Compliance Rules'!XES3</f>
        <v>Diversification Limits</v>
      </c>
    </row>
    <row r="5" spans="2:43" ht="13.8">
      <c r="T5" s="166"/>
      <c r="U5" s="166"/>
      <c r="V5" s="166"/>
      <c r="AP5" t="str">
        <f>'List of Compliance Rules'!XER4</f>
        <v/>
      </c>
      <c r="AQ5" t="str">
        <f>'List of Compliance Rules'!XES4</f>
        <v>Concentration Limits</v>
      </c>
    </row>
    <row r="6" spans="2:43" ht="17.399999999999999">
      <c r="H6" s="188" t="s">
        <v>357</v>
      </c>
      <c r="I6" s="188"/>
      <c r="J6" s="188"/>
      <c r="L6" s="188" t="s">
        <v>340</v>
      </c>
      <c r="M6" s="188"/>
      <c r="N6" s="188"/>
      <c r="O6" s="188"/>
      <c r="P6" s="188"/>
      <c r="T6" s="166"/>
      <c r="U6" s="166"/>
      <c r="V6" s="166"/>
      <c r="AP6" t="str">
        <f>'List of Compliance Rules'!XER5</f>
        <v/>
      </c>
      <c r="AQ6" t="str">
        <f>'List of Compliance Rules'!XES5</f>
        <v>Eligible Assets</v>
      </c>
    </row>
    <row r="7" spans="2:43" ht="17.399999999999999">
      <c r="H7" s="169" t="str">
        <f>Pivottable!N6</f>
        <v xml:space="preserve">Compliance Rules </v>
      </c>
      <c r="I7" s="169" t="str">
        <f>Pivottable!O6</f>
        <v>Hard Limit</v>
      </c>
      <c r="J7" s="169" t="str">
        <f>Pivottable!P6</f>
        <v>Soft Limit</v>
      </c>
      <c r="L7" s="172" t="s">
        <v>353</v>
      </c>
      <c r="M7" s="172" t="s">
        <v>354</v>
      </c>
      <c r="N7" s="172" t="s">
        <v>355</v>
      </c>
      <c r="O7" s="172" t="s">
        <v>326</v>
      </c>
      <c r="P7" s="172" t="s">
        <v>356</v>
      </c>
      <c r="T7" s="166"/>
      <c r="U7" s="166"/>
      <c r="V7" s="166"/>
      <c r="AP7" t="str">
        <f>'List of Compliance Rules'!XER6</f>
        <v/>
      </c>
      <c r="AQ7" t="str">
        <f>'List of Compliance Rules'!XES6</f>
        <v/>
      </c>
    </row>
    <row r="8" spans="2:43" ht="15">
      <c r="H8" s="171" t="str">
        <f>Pivottable!N7</f>
        <v>Rule- 1</v>
      </c>
      <c r="I8" s="171" t="str">
        <f>Pivottable!O7</f>
        <v>Breached</v>
      </c>
      <c r="J8" s="171" t="str">
        <f>Pivottable!P7</f>
        <v>Not Breached</v>
      </c>
      <c r="L8" s="162" t="str">
        <f>Rule_1_Soft_Breach</f>
        <v>Asia</v>
      </c>
      <c r="M8" s="162" t="str" cm="1">
        <f t="array" ref="M8:M11">Rule_2_Soft_Breaches</f>
        <v/>
      </c>
      <c r="N8" s="162" t="str" cm="1">
        <f t="array" ref="N8:N16">IF(Rule_3_Soft_Breaches=0,"",Rule_3_Soft_Breaches)</f>
        <v/>
      </c>
      <c r="O8" s="162"/>
      <c r="P8" s="162" t="str" cm="1">
        <f t="array" ref="P8:P15">IF(Rule_5_Soft___Hard_Limit=0,"",Rule_5_Soft___Hard_Limit)</f>
        <v/>
      </c>
      <c r="T8" s="166"/>
      <c r="U8" s="166"/>
      <c r="V8" s="166"/>
      <c r="AP8" t="str">
        <f>'List of Compliance Rules'!XER7</f>
        <v/>
      </c>
      <c r="AQ8" t="str">
        <f>'List of Compliance Rules'!XES7</f>
        <v/>
      </c>
    </row>
    <row r="9" spans="2:43" ht="15">
      <c r="H9" s="171" t="str">
        <f>Pivottable!N8</f>
        <v>Rule- 2</v>
      </c>
      <c r="I9" s="171" t="str">
        <f>Pivottable!O8</f>
        <v>Not Breached</v>
      </c>
      <c r="J9" s="171" t="str">
        <f>Pivottable!P8</f>
        <v>Not Breached</v>
      </c>
      <c r="L9" s="162"/>
      <c r="M9" s="162" t="str">
        <v/>
      </c>
      <c r="N9" s="162" t="str">
        <v/>
      </c>
      <c r="O9" s="162"/>
      <c r="P9" s="162" t="str">
        <v/>
      </c>
      <c r="T9" s="166"/>
      <c r="U9" s="166"/>
      <c r="V9" s="166"/>
      <c r="AP9" t="str">
        <f>'List of Compliance Rules'!XER8</f>
        <v/>
      </c>
      <c r="AQ9" t="str">
        <f>'List of Compliance Rules'!XES8</f>
        <v/>
      </c>
    </row>
    <row r="10" spans="2:43" ht="15">
      <c r="H10" s="171" t="str">
        <f>Pivottable!N9</f>
        <v>Rule- 3</v>
      </c>
      <c r="I10" s="171" t="str">
        <f>Pivottable!O9</f>
        <v>Not Breached</v>
      </c>
      <c r="J10" s="171" t="str">
        <f>Pivottable!P9</f>
        <v>Not Breached</v>
      </c>
      <c r="L10" s="162"/>
      <c r="M10" s="162" t="str">
        <v/>
      </c>
      <c r="N10" s="162" t="str">
        <v/>
      </c>
      <c r="O10" s="162"/>
      <c r="P10" s="162" t="str">
        <v/>
      </c>
      <c r="T10" s="166"/>
      <c r="U10" s="166"/>
      <c r="V10" s="166"/>
      <c r="AP10" t="str">
        <f>'List of Compliance Rules'!XER9</f>
        <v/>
      </c>
      <c r="AQ10" t="str">
        <f>'List of Compliance Rules'!XES9</f>
        <v/>
      </c>
    </row>
    <row r="11" spans="2:43" ht="15">
      <c r="H11" s="171" t="str">
        <f>Pivottable!N10</f>
        <v>Rule- 5</v>
      </c>
      <c r="I11" s="189" t="str">
        <f>Pivottable!O10</f>
        <v>5/10/40 Rule is Breached</v>
      </c>
      <c r="J11" s="190"/>
      <c r="L11" s="162"/>
      <c r="M11" s="162" t="str">
        <v/>
      </c>
      <c r="N11" s="162" t="str">
        <v/>
      </c>
      <c r="O11" s="162"/>
      <c r="P11" s="162" t="str">
        <v/>
      </c>
      <c r="AP11" t="str">
        <f>'List of Compliance Rules'!XER10</f>
        <v/>
      </c>
      <c r="AQ11" t="str">
        <f>'List of Compliance Rules'!XES10</f>
        <v/>
      </c>
    </row>
    <row r="12" spans="2:43">
      <c r="L12" s="162"/>
      <c r="M12" s="162"/>
      <c r="N12" s="162" t="str">
        <v/>
      </c>
      <c r="O12" s="162"/>
      <c r="P12" s="162" t="str">
        <v/>
      </c>
      <c r="AP12" t="str">
        <f>'List of Compliance Rules'!XER11</f>
        <v/>
      </c>
      <c r="AQ12" t="str">
        <f>'List of Compliance Rules'!XES11</f>
        <v/>
      </c>
    </row>
    <row r="13" spans="2:43">
      <c r="L13" s="162"/>
      <c r="M13" s="162"/>
      <c r="N13" s="162" t="str">
        <v/>
      </c>
      <c r="O13" s="162"/>
      <c r="P13" s="162" t="str">
        <v/>
      </c>
      <c r="AP13" t="str">
        <f>'List of Compliance Rules'!XER12</f>
        <v/>
      </c>
      <c r="AQ13" t="str">
        <f>'List of Compliance Rules'!XES12</f>
        <v/>
      </c>
    </row>
    <row r="14" spans="2:43">
      <c r="N14" s="122" t="str">
        <v/>
      </c>
      <c r="P14" s="122" t="str">
        <v/>
      </c>
      <c r="AP14" t="str">
        <f>'List of Compliance Rules'!XER13</f>
        <v/>
      </c>
      <c r="AQ14" t="str">
        <f>'List of Compliance Rules'!XES13</f>
        <v/>
      </c>
    </row>
    <row r="15" spans="2:43">
      <c r="N15" s="122" t="str">
        <v/>
      </c>
      <c r="P15" s="122" t="str">
        <v/>
      </c>
      <c r="AP15" t="str">
        <f>'List of Compliance Rules'!XER14</f>
        <v/>
      </c>
      <c r="AQ15" t="str">
        <f>'List of Compliance Rules'!XES14</f>
        <v/>
      </c>
    </row>
    <row r="16" spans="2:43">
      <c r="N16" s="122" t="str">
        <v/>
      </c>
      <c r="AP16" t="str">
        <f>'List of Compliance Rules'!XER15</f>
        <v/>
      </c>
      <c r="AQ16" t="str">
        <f>'List of Compliance Rules'!XES15</f>
        <v/>
      </c>
    </row>
    <row r="17" spans="1:43 16382:16384">
      <c r="AP17" t="str">
        <f>'List of Compliance Rules'!XER16</f>
        <v/>
      </c>
      <c r="AQ17" t="str">
        <f>'List of Compliance Rules'!XES16</f>
        <v/>
      </c>
    </row>
    <row r="18" spans="1:43 16382:16384">
      <c r="AP18" t="str">
        <f>'List of Compliance Rules'!XER17</f>
        <v/>
      </c>
      <c r="AQ18" t="str">
        <f>'List of Compliance Rules'!XES17</f>
        <v/>
      </c>
    </row>
    <row r="19" spans="1:43 16382:16384">
      <c r="AP19" t="str">
        <f>'List of Compliance Rules'!XER18</f>
        <v/>
      </c>
      <c r="AQ19" t="str">
        <f>'List of Compliance Rules'!XES18</f>
        <v/>
      </c>
    </row>
    <row r="20" spans="1:43 16382:16384" ht="17.399999999999999">
      <c r="H20" s="187" t="s">
        <v>305</v>
      </c>
      <c r="I20" s="187"/>
      <c r="J20" s="187"/>
      <c r="K20" s="187"/>
      <c r="L20" s="187"/>
      <c r="N20" s="167" t="s">
        <v>342</v>
      </c>
      <c r="AP20" t="str">
        <f>'List of Compliance Rules'!XER19</f>
        <v/>
      </c>
      <c r="AQ20" t="str">
        <f>'List of Compliance Rules'!XES19</f>
        <v/>
      </c>
    </row>
    <row r="21" spans="1:43 16382:16384" ht="19.8" customHeight="1">
      <c r="H21" s="172" t="s">
        <v>290</v>
      </c>
      <c r="I21" s="172" t="s">
        <v>296</v>
      </c>
      <c r="J21" s="172" t="s">
        <v>297</v>
      </c>
      <c r="K21" s="172" t="s">
        <v>4</v>
      </c>
      <c r="L21" s="172" t="s">
        <v>359</v>
      </c>
      <c r="N21" s="122" t="str" cm="1">
        <f t="array" ref="N21:N25">IFERROR(IF(IF(L22=1, Rule1,
IF(L22=2, Rule2,
IF(L22=3, Rule3,
IF(L22=4, Rule4,
IF(L22=5, Rule5, "")))))=0,"",IF(L22=1, Rule1,
IF(L22=2, Rule2,
IF(L22=3, Rule3,
IF(L22=4, Rule4,
IF(L22=5, Rule5, "")))))),"None of the Securities have Breached the Rules")</f>
        <v/>
      </c>
      <c r="AP21" t="str">
        <f>'List of Compliance Rules'!XER20</f>
        <v/>
      </c>
      <c r="AQ21" t="str">
        <f>'List of Compliance Rules'!XES20</f>
        <v/>
      </c>
      <c r="XFB21" s="122"/>
      <c r="XFC21" s="122"/>
      <c r="XFD21" s="122"/>
    </row>
    <row r="22" spans="1:43 16382:16384" ht="20.399999999999999" customHeight="1">
      <c r="H22" s="170" t="str" cm="1">
        <f t="array" ref="H22:H23">IF(_xlfn.UNIQUE(Funds_data!C3:C1048576)&lt;&gt;0,_xlfn.UNIQUE(Funds_data!C3:C1048576),"")</f>
        <v>Prorite Global UCITS Fund</v>
      </c>
      <c r="I22" s="170" t="s">
        <v>10</v>
      </c>
      <c r="J22" s="170" t="s">
        <v>11</v>
      </c>
      <c r="K22" s="171" t="s">
        <v>30</v>
      </c>
      <c r="L22" s="170">
        <f>IF(AND(I22="Prospectus", J22="Fund Exposure", K22="Limits on gross equity exposure to Asia"), 1,
IF(AND(I22="Prospectus", J22="Diversification Limits"), 2,
IF(AND(I22="Regulation", J22="Concentration Limits"), 3,
IF(AND(I22="Prospectus", J22="Eligible Assets"), 4,
IF(AND(I22="Prospectus", J22="Fund Exposure", K22="5/10/40 investment restriction"), 5,
IF(AND(I22="Regulation", J22="Fund Exposure"), 6,
""))))))</f>
        <v>5</v>
      </c>
      <c r="N22" s="168" t="str">
        <v>Sams Electronics Ltd</v>
      </c>
      <c r="AP22" t="str">
        <f>'List of Compliance Rules'!XER21</f>
        <v/>
      </c>
      <c r="AQ22" t="str">
        <f>'List of Compliance Rules'!XES21</f>
        <v/>
      </c>
    </row>
    <row r="23" spans="1:43 16382:16384" ht="15">
      <c r="H23" s="170" t="str">
        <v/>
      </c>
      <c r="I23" s="170"/>
      <c r="J23" s="170"/>
      <c r="K23" s="170"/>
      <c r="L23" s="171"/>
      <c r="N23" s="168" t="str">
        <v>SpectraLogic Systems Inc.</v>
      </c>
      <c r="AP23" t="str">
        <f>'List of Compliance Rules'!XER22</f>
        <v/>
      </c>
      <c r="AQ23" t="str">
        <f>'List of Compliance Rules'!XES22</f>
        <v/>
      </c>
    </row>
    <row r="24" spans="1:43 16382:16384" ht="15">
      <c r="N24" s="168" t="str">
        <v>TerraNex Solutions LLC</v>
      </c>
      <c r="AP24" t="str">
        <f>'List of Compliance Rules'!XER23</f>
        <v/>
      </c>
      <c r="AQ24" t="str">
        <f>'List of Compliance Rules'!XES23</f>
        <v/>
      </c>
    </row>
    <row r="25" spans="1:43 16382:16384" ht="15">
      <c r="N25" s="168" t="str">
        <v>Zenith Core Innovations Ltd</v>
      </c>
      <c r="AP25" t="str">
        <f>'List of Compliance Rules'!XER24</f>
        <v/>
      </c>
      <c r="AQ25" t="str">
        <f>'List of Compliance Rules'!XES24</f>
        <v/>
      </c>
    </row>
    <row r="26" spans="1:43 16382:16384" ht="15">
      <c r="N26" s="168"/>
      <c r="AP26" t="str">
        <f>'List of Compliance Rules'!XER25</f>
        <v/>
      </c>
      <c r="AQ26" t="str">
        <f>'List of Compliance Rules'!XES25</f>
        <v/>
      </c>
    </row>
    <row r="27" spans="1:43 16382:16384" ht="15">
      <c r="N27" s="168"/>
    </row>
    <row r="28" spans="1:43 16382:16384">
      <c r="AP28" s="161"/>
      <c r="AQ28" s="161"/>
    </row>
    <row r="29" spans="1:43 16382:16384"/>
    <row r="30" spans="1:43 16382:16384"/>
    <row r="31" spans="1:43 16382:16384"/>
    <row r="32" spans="1:43 16382:16384" s="173" customFormat="1">
      <c r="A32" s="122"/>
      <c r="B32" s="122"/>
      <c r="C32" s="122"/>
      <c r="D32" s="122"/>
      <c r="E32" s="122"/>
      <c r="F32" s="122"/>
      <c r="G32" s="122"/>
    </row>
    <row r="33" spans="1:7" s="173" customFormat="1">
      <c r="A33" s="122"/>
      <c r="B33" s="122"/>
      <c r="C33" s="122"/>
      <c r="D33" s="122"/>
      <c r="E33" s="122"/>
      <c r="F33" s="122"/>
      <c r="G33" s="122"/>
    </row>
    <row r="34" spans="1:7" s="173" customFormat="1">
      <c r="A34" s="122"/>
      <c r="B34" s="122"/>
      <c r="C34" s="122"/>
      <c r="D34" s="122"/>
      <c r="E34" s="122"/>
      <c r="F34" s="122"/>
      <c r="G34" s="122"/>
    </row>
    <row r="35" spans="1:7" s="173" customFormat="1">
      <c r="A35" s="122"/>
      <c r="B35" s="122"/>
      <c r="C35" s="122"/>
      <c r="D35" s="122"/>
      <c r="E35" s="122"/>
      <c r="F35" s="122"/>
      <c r="G35" s="122"/>
    </row>
    <row r="36" spans="1:7" s="173" customFormat="1">
      <c r="A36" s="122"/>
      <c r="B36" s="122"/>
      <c r="C36" s="122"/>
      <c r="D36" s="122"/>
      <c r="E36" s="122"/>
      <c r="F36" s="122"/>
      <c r="G36" s="122"/>
    </row>
    <row r="37" spans="1:7" s="173" customFormat="1">
      <c r="A37" s="122"/>
      <c r="B37" s="122"/>
      <c r="C37" s="122"/>
      <c r="D37" s="122"/>
      <c r="E37" s="122"/>
      <c r="F37" s="122"/>
      <c r="G37" s="122"/>
    </row>
    <row r="38" spans="1:7" s="173" customFormat="1">
      <c r="A38" s="122"/>
      <c r="B38" s="122"/>
      <c r="C38" s="122"/>
      <c r="D38" s="122"/>
      <c r="E38" s="122"/>
      <c r="F38" s="122"/>
      <c r="G38" s="122"/>
    </row>
    <row r="39" spans="1:7" s="173" customFormat="1">
      <c r="A39" s="122"/>
      <c r="B39" s="122"/>
      <c r="C39" s="122"/>
      <c r="D39" s="122"/>
      <c r="E39" s="122"/>
      <c r="F39" s="122"/>
      <c r="G39" s="122"/>
    </row>
    <row r="40" spans="1:7" s="173" customFormat="1">
      <c r="A40" s="122"/>
      <c r="B40" s="122"/>
      <c r="C40" s="122"/>
      <c r="D40" s="122"/>
      <c r="E40" s="122"/>
      <c r="F40" s="122"/>
      <c r="G40" s="122"/>
    </row>
    <row r="41" spans="1:7" s="173" customFormat="1">
      <c r="A41" s="122"/>
      <c r="B41" s="122"/>
      <c r="C41" s="122"/>
      <c r="D41" s="122"/>
      <c r="E41" s="122"/>
      <c r="F41" s="122"/>
      <c r="G41" s="122"/>
    </row>
    <row r="42" spans="1:7"/>
    <row r="43" spans="1:7"/>
    <row r="44" spans="1:7" ht="18">
      <c r="E44" s="192" t="s">
        <v>331</v>
      </c>
      <c r="F44" s="192"/>
    </row>
    <row r="45" spans="1:7"/>
    <row r="46" spans="1:7"/>
    <row r="47" spans="1:7"/>
    <row r="48" spans="1:7"/>
    <row r="49"/>
  </sheetData>
  <sheetProtection selectLockedCells="1" selectUnlockedCells="1"/>
  <mergeCells count="7">
    <mergeCell ref="H20:L20"/>
    <mergeCell ref="H6:J6"/>
    <mergeCell ref="I11:J11"/>
    <mergeCell ref="B3:F3"/>
    <mergeCell ref="E44:F44"/>
    <mergeCell ref="J3:M3"/>
    <mergeCell ref="L6:P6"/>
  </mergeCells>
  <phoneticPr fontId="29" type="noConversion"/>
  <conditionalFormatting sqref="I8:J10 I11">
    <cfRule type="notContainsText" dxfId="46" priority="1" operator="notContains" text="Not">
      <formula>ISERROR(SEARCH("Not",I8))</formula>
    </cfRule>
    <cfRule type="notContainsText" dxfId="45" priority="2" operator="notContains" text="Not">
      <formula>ISERROR(SEARCH("Not",I8))</formula>
    </cfRule>
    <cfRule type="notContainsText" dxfId="44" priority="3" operator="notContains" text="Not">
      <formula>ISERROR(SEARCH("Not",I8))</formula>
    </cfRule>
    <cfRule type="containsText" dxfId="43" priority="4" operator="containsText" text="Not">
      <formula>NOT(ISERROR(SEARCH("Not",I8)))</formula>
    </cfRule>
  </conditionalFormatting>
  <dataValidations count="4">
    <dataValidation type="list" allowBlank="1" showErrorMessage="1" sqref="U5:U10" xr:uid="{1CB3E6F8-0D80-4472-8A53-D0F83B316338}">
      <formula1>"Prospectus,Regulation"</formula1>
    </dataValidation>
    <dataValidation type="list" allowBlank="1" showInputMessage="1" showErrorMessage="1" sqref="I22" xr:uid="{1085D08C-86B0-402E-AAAB-1FD74BAA39B1}">
      <formula1>OFFSET($AP$3,0,0,COUNTA($AP$3:$AP$25)-COUNTIFS($AP$3:$AP$25,""))</formula1>
    </dataValidation>
    <dataValidation type="list" allowBlank="1" showInputMessage="1" showErrorMessage="1" sqref="J22" xr:uid="{64D3AB9E-C20A-4748-B56E-20D2F2E5BAFC}">
      <formula1>OFFSET($AQ$3,0,0,COUNTA($AQ$3:$AQ$25)-COUNTIFS($AQ$3:$AQ$25,""))</formula1>
    </dataValidation>
    <dataValidation type="list" allowBlank="1" showInputMessage="1" showErrorMessage="1" sqref="K22" xr:uid="{1F244920-CE07-48BF-AEBC-7E1C7E4A9AC1}">
      <formula1>"Limits on gross equity exposure to Asia, Limit on exposure to a single counterparty, Limit on exposure to a single issuer via its debt securities, Eligible Security types, 5/10/40 investment restriction, Limits on aggregated exposure to any group"</formula1>
    </dataValidation>
  </dataValidations>
  <hyperlinks>
    <hyperlink ref="E44:F44" location="Pivottable!A1" display="For More Details" xr:uid="{8C92D3BD-B991-49A0-9B17-2E41D30E1639}"/>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4CF29-C94C-4F0F-BD18-2D34545A09AD}">
  <sheetPr codeName="Sheet11"/>
  <dimension ref="A1:P74"/>
  <sheetViews>
    <sheetView topLeftCell="A4" zoomScale="85" zoomScaleNormal="85" workbookViewId="0">
      <selection activeCell="A11" sqref="A11"/>
    </sheetView>
  </sheetViews>
  <sheetFormatPr defaultColWidth="0" defaultRowHeight="13.2"/>
  <cols>
    <col min="1" max="1" width="8.88671875" customWidth="1"/>
    <col min="2" max="2" width="21.77734375" customWidth="1"/>
    <col min="3" max="3" width="2.88671875" customWidth="1"/>
    <col min="4" max="4" width="34.77734375" customWidth="1"/>
    <col min="5" max="6" width="40.33203125" bestFit="1" customWidth="1"/>
    <col min="7" max="7" width="31.109375" customWidth="1"/>
    <col min="8" max="8" width="21.77734375" customWidth="1"/>
    <col min="9" max="11" width="8.88671875" hidden="1"/>
    <col min="12" max="12" width="13.88671875" hidden="1"/>
    <col min="17" max="16384" width="8.88671875" hidden="1"/>
  </cols>
  <sheetData>
    <row r="1" spans="1:16">
      <c r="A1" s="25"/>
      <c r="B1" s="25"/>
      <c r="C1" s="25"/>
      <c r="D1" s="25"/>
      <c r="E1" s="25"/>
      <c r="F1" s="25"/>
      <c r="G1" s="25"/>
      <c r="H1" s="25"/>
      <c r="I1" s="25"/>
      <c r="J1" s="25"/>
      <c r="K1" s="25"/>
      <c r="L1" s="25"/>
      <c r="M1" s="25"/>
      <c r="N1" s="25"/>
      <c r="O1" s="25"/>
      <c r="P1" s="25"/>
    </row>
    <row r="2" spans="1:16">
      <c r="A2" s="25"/>
      <c r="B2" s="25"/>
      <c r="C2" s="25"/>
      <c r="D2" s="25"/>
      <c r="E2" s="25"/>
      <c r="F2" s="25"/>
      <c r="G2" s="25"/>
      <c r="H2" s="25"/>
      <c r="I2" s="25"/>
      <c r="J2" s="25"/>
      <c r="K2" s="25"/>
      <c r="L2" s="25"/>
      <c r="M2" s="25"/>
      <c r="N2" s="25"/>
      <c r="O2" s="25"/>
      <c r="P2" s="25"/>
    </row>
    <row r="3" spans="1:16">
      <c r="A3" s="25"/>
      <c r="B3" s="25"/>
      <c r="C3" s="25"/>
      <c r="D3" s="25"/>
      <c r="E3" s="187" t="s">
        <v>305</v>
      </c>
      <c r="F3" s="187"/>
      <c r="G3" s="25"/>
      <c r="H3" s="25"/>
      <c r="I3" s="25"/>
      <c r="J3" s="25"/>
      <c r="K3" s="25"/>
      <c r="L3" s="78" t="s">
        <v>301</v>
      </c>
      <c r="M3" s="78" t="s">
        <v>302</v>
      </c>
      <c r="N3" s="25"/>
      <c r="O3" s="25"/>
      <c r="P3" s="25"/>
    </row>
    <row r="4" spans="1:16" ht="47.4" customHeight="1">
      <c r="A4" s="25"/>
      <c r="B4" s="25"/>
      <c r="C4" s="194" t="s">
        <v>290</v>
      </c>
      <c r="D4" s="195"/>
      <c r="E4" s="61" t="s">
        <v>296</v>
      </c>
      <c r="F4" s="61" t="s">
        <v>297</v>
      </c>
      <c r="G4" s="61" t="s">
        <v>299</v>
      </c>
      <c r="H4" s="25"/>
      <c r="I4" s="25"/>
      <c r="J4" s="25"/>
      <c r="K4" s="25"/>
      <c r="L4" s="25" t="str">
        <f>'List of Compliance Rules'!XER2</f>
        <v>Prospectus</v>
      </c>
      <c r="M4" s="25" t="str">
        <f>'List of Compliance Rules'!XES2</f>
        <v>Fund Exposure</v>
      </c>
      <c r="N4" s="25"/>
      <c r="O4" s="25"/>
      <c r="P4" s="25">
        <v>0</v>
      </c>
    </row>
    <row r="5" spans="1:16" ht="47.4" customHeight="1">
      <c r="A5" s="25"/>
      <c r="B5" s="25"/>
      <c r="C5" s="84"/>
      <c r="D5" s="65" t="str" cm="1">
        <f t="array" ref="D5:D9">IF(_xlfn.UNIQUE('Sample Data'!B2:B1048576)&lt;&gt;0,_xlfn.UNIQUE('Sample Data'!B2:B1048576), "")</f>
        <v>Prorite Global UCITS Fund</v>
      </c>
      <c r="E5" s="60" t="s">
        <v>10</v>
      </c>
      <c r="F5" s="60" t="s">
        <v>20</v>
      </c>
      <c r="G5" s="34"/>
      <c r="H5" s="25"/>
      <c r="I5" s="25"/>
      <c r="J5" s="25"/>
      <c r="K5" s="25"/>
      <c r="L5" s="25" t="str">
        <f>'List of Compliance Rules'!XER3</f>
        <v>Regulation</v>
      </c>
      <c r="M5" s="25" t="str">
        <f>'List of Compliance Rules'!XES3</f>
        <v>Diversification Limits</v>
      </c>
      <c r="N5" s="25"/>
      <c r="O5" s="25"/>
      <c r="P5" s="25"/>
    </row>
    <row r="6" spans="1:16" ht="47.4" customHeight="1">
      <c r="A6" s="25"/>
      <c r="B6" s="25"/>
      <c r="C6" s="80"/>
      <c r="D6" s="60" t="str">
        <v>Renaissance Global UCITS Fund</v>
      </c>
      <c r="E6" s="60"/>
      <c r="F6" s="60"/>
      <c r="G6" s="60"/>
      <c r="H6" s="25"/>
      <c r="I6" s="25"/>
      <c r="J6" s="25"/>
      <c r="K6" s="25"/>
      <c r="L6" s="25" t="str">
        <f>'List of Compliance Rules'!XER4</f>
        <v/>
      </c>
      <c r="M6" s="25" t="str">
        <f>'List of Compliance Rules'!XES4</f>
        <v>Concentration Limits</v>
      </c>
      <c r="N6" s="25"/>
      <c r="O6" s="25"/>
      <c r="P6" s="25"/>
    </row>
    <row r="7" spans="1:16" ht="47.4" customHeight="1">
      <c r="A7" s="25"/>
      <c r="B7" s="25"/>
      <c r="C7" s="63"/>
      <c r="D7" s="60" t="str">
        <v>Ishares UCITS Fund</v>
      </c>
      <c r="E7" s="60"/>
      <c r="F7" s="60"/>
      <c r="G7" s="60"/>
      <c r="H7" s="25"/>
      <c r="I7" s="25"/>
      <c r="J7" s="25"/>
      <c r="K7" s="25"/>
      <c r="L7" s="25" t="str">
        <f>'List of Compliance Rules'!XER5</f>
        <v/>
      </c>
      <c r="M7" s="25" t="str">
        <f>'List of Compliance Rules'!XES5</f>
        <v>Eligible Assets</v>
      </c>
      <c r="N7" s="25"/>
      <c r="O7" s="25"/>
      <c r="P7" s="25"/>
    </row>
    <row r="8" spans="1:16" ht="47.4" customHeight="1">
      <c r="A8" s="25"/>
      <c r="B8" s="25"/>
      <c r="C8" s="62"/>
      <c r="D8" s="60" t="str">
        <v>Vanguard Global UCITS Fund</v>
      </c>
      <c r="E8" s="60"/>
      <c r="F8" s="60"/>
      <c r="G8" s="60"/>
      <c r="H8" s="25"/>
      <c r="I8" s="25"/>
      <c r="J8" s="25"/>
      <c r="K8" s="25"/>
      <c r="L8" s="25" t="str">
        <f>'List of Compliance Rules'!XER6</f>
        <v/>
      </c>
      <c r="M8" s="25" t="str">
        <f>'List of Compliance Rules'!XES6</f>
        <v/>
      </c>
      <c r="N8" s="25"/>
      <c r="O8" s="25"/>
      <c r="P8" s="25"/>
    </row>
    <row r="9" spans="1:16" ht="47.4" customHeight="1">
      <c r="A9" s="25"/>
      <c r="B9" s="25"/>
      <c r="C9" s="64"/>
      <c r="D9" s="58" t="str">
        <v/>
      </c>
      <c r="E9" s="25"/>
      <c r="F9" s="25"/>
      <c r="G9" s="25"/>
      <c r="H9" s="25"/>
      <c r="I9" s="25"/>
      <c r="J9" s="25"/>
      <c r="K9" s="25"/>
      <c r="L9" s="25" t="str">
        <f>'List of Compliance Rules'!XER7</f>
        <v/>
      </c>
      <c r="M9" s="25" t="str">
        <f>'List of Compliance Rules'!XES7</f>
        <v/>
      </c>
      <c r="N9" s="25"/>
      <c r="O9" s="25"/>
      <c r="P9" s="25"/>
    </row>
    <row r="10" spans="1:16" ht="47.4" customHeight="1">
      <c r="A10" s="25"/>
      <c r="B10" s="25"/>
      <c r="C10" s="25"/>
      <c r="D10" s="58"/>
      <c r="E10" s="25"/>
      <c r="F10" s="25"/>
      <c r="G10" s="25"/>
      <c r="H10" s="25"/>
      <c r="I10" s="25"/>
      <c r="J10" s="25"/>
      <c r="K10" s="25"/>
      <c r="L10" s="25" t="str">
        <f>'List of Compliance Rules'!XER8</f>
        <v/>
      </c>
      <c r="M10" s="25" t="str">
        <f>'List of Compliance Rules'!XES8</f>
        <v/>
      </c>
      <c r="N10" s="25"/>
      <c r="O10" s="25"/>
      <c r="P10" s="25"/>
    </row>
    <row r="11" spans="1:16" ht="31.8" customHeight="1">
      <c r="A11" s="25"/>
      <c r="B11" s="25"/>
      <c r="C11" s="25"/>
      <c r="D11" s="58"/>
      <c r="E11" s="25"/>
      <c r="F11" s="25"/>
      <c r="G11" s="25"/>
      <c r="H11" s="25"/>
      <c r="I11" s="25"/>
      <c r="J11" s="25"/>
      <c r="K11" s="25"/>
      <c r="L11" s="25" t="str">
        <f>'List of Compliance Rules'!XER9</f>
        <v/>
      </c>
      <c r="M11" s="25" t="str">
        <f>'List of Compliance Rules'!XES9</f>
        <v/>
      </c>
      <c r="N11" s="25"/>
      <c r="O11" s="25"/>
      <c r="P11" s="25"/>
    </row>
    <row r="12" spans="1:16" ht="31.8" customHeight="1">
      <c r="A12" s="25"/>
      <c r="B12" s="25"/>
      <c r="C12" s="25"/>
      <c r="D12" s="58"/>
      <c r="E12" s="25"/>
      <c r="F12" s="25"/>
      <c r="G12" s="25"/>
      <c r="H12" s="25"/>
      <c r="I12" s="25"/>
      <c r="J12" s="25"/>
      <c r="K12" s="25"/>
      <c r="L12" s="25" t="str">
        <f>'List of Compliance Rules'!XER10</f>
        <v/>
      </c>
      <c r="M12" s="25" t="str">
        <f>'List of Compliance Rules'!XES10</f>
        <v/>
      </c>
      <c r="N12" s="25"/>
      <c r="O12" s="25"/>
      <c r="P12" s="25"/>
    </row>
    <row r="13" spans="1:16" ht="31.8" customHeight="1">
      <c r="A13" s="25"/>
      <c r="B13" s="25"/>
      <c r="C13" s="25"/>
      <c r="D13" s="58"/>
      <c r="E13" s="25"/>
      <c r="F13" s="25"/>
      <c r="G13" s="25"/>
      <c r="H13" s="25"/>
      <c r="I13" s="25"/>
      <c r="J13" s="25"/>
      <c r="K13" s="25"/>
      <c r="L13" s="25" t="str">
        <f>'List of Compliance Rules'!XER11</f>
        <v/>
      </c>
      <c r="M13" s="25" t="str">
        <f>'List of Compliance Rules'!XES11</f>
        <v/>
      </c>
      <c r="N13" s="25"/>
      <c r="O13" s="25"/>
      <c r="P13" s="25"/>
    </row>
    <row r="14" spans="1:16" ht="31.8" customHeight="1">
      <c r="A14" s="25"/>
      <c r="B14" s="25"/>
      <c r="C14" s="25"/>
      <c r="D14" s="58"/>
      <c r="F14" s="25"/>
      <c r="H14" s="79"/>
      <c r="I14" s="25"/>
      <c r="J14" s="25"/>
      <c r="K14" s="25"/>
      <c r="L14" s="25" t="str">
        <f>'List of Compliance Rules'!XER12</f>
        <v/>
      </c>
      <c r="M14" s="25" t="str">
        <f>'List of Compliance Rules'!XES12</f>
        <v/>
      </c>
      <c r="N14" s="25"/>
      <c r="O14" s="25"/>
      <c r="P14" s="25"/>
    </row>
    <row r="15" spans="1:16" ht="31.8" customHeight="1">
      <c r="D15" s="56"/>
    </row>
    <row r="16" spans="1:16" ht="31.8" customHeight="1">
      <c r="D16" s="56"/>
    </row>
    <row r="17" spans="4:4" ht="31.8" customHeight="1">
      <c r="D17" s="57"/>
    </row>
    <row r="18" spans="4:4" ht="31.8" customHeight="1">
      <c r="D18" s="57"/>
    </row>
    <row r="19" spans="4:4" ht="31.8" customHeight="1">
      <c r="D19" s="51"/>
    </row>
    <row r="20" spans="4:4" ht="31.8" customHeight="1">
      <c r="D20" s="51"/>
    </row>
    <row r="21" spans="4:4" ht="31.8" customHeight="1">
      <c r="D21" s="51"/>
    </row>
    <row r="22" spans="4:4" ht="31.8" customHeight="1">
      <c r="D22" s="51"/>
    </row>
    <row r="23" spans="4:4" ht="31.8" customHeight="1">
      <c r="D23" s="51"/>
    </row>
    <row r="24" spans="4:4" ht="31.8" customHeight="1">
      <c r="D24" s="51"/>
    </row>
    <row r="25" spans="4:4" ht="31.8" customHeight="1">
      <c r="D25" s="51"/>
    </row>
    <row r="26" spans="4:4" ht="31.8" customHeight="1">
      <c r="D26" s="51"/>
    </row>
    <row r="27" spans="4:4" ht="31.8" customHeight="1">
      <c r="D27" s="51"/>
    </row>
    <row r="28" spans="4:4" ht="31.8" customHeight="1">
      <c r="D28" s="51"/>
    </row>
    <row r="29" spans="4:4">
      <c r="D29" s="51"/>
    </row>
    <row r="30" spans="4:4">
      <c r="D30" s="51"/>
    </row>
    <row r="31" spans="4:4">
      <c r="D31" s="51"/>
    </row>
    <row r="32" spans="4:4">
      <c r="D32" s="51"/>
    </row>
    <row r="33" spans="4:4">
      <c r="D33" s="51"/>
    </row>
    <row r="34" spans="4:4">
      <c r="D34" s="51"/>
    </row>
    <row r="35" spans="4:4">
      <c r="D35" s="51"/>
    </row>
    <row r="36" spans="4:4">
      <c r="D36" s="51"/>
    </row>
    <row r="37" spans="4:4">
      <c r="D37" s="51"/>
    </row>
    <row r="38" spans="4:4">
      <c r="D38" s="51"/>
    </row>
    <row r="39" spans="4:4">
      <c r="D39" s="51"/>
    </row>
    <row r="40" spans="4:4">
      <c r="D40" s="51"/>
    </row>
    <row r="41" spans="4:4">
      <c r="D41" s="51"/>
    </row>
    <row r="42" spans="4:4">
      <c r="D42" s="51"/>
    </row>
    <row r="43" spans="4:4">
      <c r="D43" s="51"/>
    </row>
    <row r="44" spans="4:4">
      <c r="D44" s="51"/>
    </row>
    <row r="45" spans="4:4">
      <c r="D45" s="51"/>
    </row>
    <row r="46" spans="4:4">
      <c r="D46" s="51"/>
    </row>
    <row r="47" spans="4:4">
      <c r="D47" s="51"/>
    </row>
    <row r="48" spans="4:4">
      <c r="D48" s="51"/>
    </row>
    <row r="49" spans="4:4">
      <c r="D49" s="51"/>
    </row>
    <row r="50" spans="4:4">
      <c r="D50" s="51"/>
    </row>
    <row r="51" spans="4:4">
      <c r="D51" s="51"/>
    </row>
    <row r="52" spans="4:4">
      <c r="D52" s="51"/>
    </row>
    <row r="53" spans="4:4">
      <c r="D53" s="51"/>
    </row>
    <row r="54" spans="4:4">
      <c r="D54" s="51"/>
    </row>
    <row r="55" spans="4:4">
      <c r="D55" s="51"/>
    </row>
    <row r="56" spans="4:4">
      <c r="D56" s="51"/>
    </row>
    <row r="57" spans="4:4">
      <c r="D57" s="51"/>
    </row>
    <row r="58" spans="4:4">
      <c r="D58" s="51"/>
    </row>
    <row r="59" spans="4:4">
      <c r="D59" s="51"/>
    </row>
    <row r="60" spans="4:4">
      <c r="D60" s="51"/>
    </row>
    <row r="61" spans="4:4">
      <c r="D61" s="51"/>
    </row>
    <row r="62" spans="4:4">
      <c r="D62" s="51"/>
    </row>
    <row r="63" spans="4:4">
      <c r="D63" s="51"/>
    </row>
    <row r="64" spans="4:4">
      <c r="D64" s="51"/>
    </row>
    <row r="65" spans="4:4">
      <c r="D65" s="51"/>
    </row>
    <row r="66" spans="4:4">
      <c r="D66" s="51"/>
    </row>
    <row r="67" spans="4:4">
      <c r="D67" s="51"/>
    </row>
    <row r="68" spans="4:4">
      <c r="D68" s="51"/>
    </row>
    <row r="69" spans="4:4">
      <c r="D69" s="51"/>
    </row>
    <row r="70" spans="4:4">
      <c r="D70" s="51"/>
    </row>
    <row r="71" spans="4:4">
      <c r="D71" s="51"/>
    </row>
    <row r="72" spans="4:4">
      <c r="D72" s="51"/>
    </row>
    <row r="73" spans="4:4">
      <c r="D73" s="51"/>
    </row>
    <row r="74" spans="4:4">
      <c r="D74" s="51"/>
    </row>
  </sheetData>
  <mergeCells count="2">
    <mergeCell ref="C4:D4"/>
    <mergeCell ref="E3:F3"/>
  </mergeCells>
  <dataValidations count="2">
    <dataValidation type="list" allowBlank="1" showInputMessage="1" showErrorMessage="1" sqref="E5:E8" xr:uid="{9AFC5F00-71F3-4E50-BE04-6E371CDB8716}">
      <formula1>OFFSET($L$4,0,0,COUNTA($L$4:$L$14)-COUNTIFS($L$4:$L$14,""))</formula1>
    </dataValidation>
    <dataValidation type="list" allowBlank="1" showInputMessage="1" showErrorMessage="1" sqref="F5:F8" xr:uid="{192ADA34-9B76-4C35-B1D6-406C2569751D}">
      <formula1>OFFSET($M$4,0,0,COUNTA($M$4:$M$14)-COUNTIFS($M$4:$M$14,""))</formula1>
    </dataValidation>
  </dataValidation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88BCC-1736-40F6-9B69-C29CF641F43D}">
  <sheetPr codeName="Sheet10"/>
  <dimension ref="A1:AE1570"/>
  <sheetViews>
    <sheetView zoomScale="70" zoomScaleNormal="70" workbookViewId="0"/>
  </sheetViews>
  <sheetFormatPr defaultColWidth="0" defaultRowHeight="13.2" zeroHeight="1"/>
  <cols>
    <col min="1" max="1" width="24.33203125" customWidth="1"/>
    <col min="2" max="7" width="8.88671875" customWidth="1"/>
    <col min="8" max="8" width="11.21875" customWidth="1"/>
    <col min="9" max="14" width="8.88671875" customWidth="1"/>
    <col min="15" max="15" width="28.6640625" customWidth="1"/>
    <col min="16" max="19" width="8.88671875" customWidth="1"/>
    <col min="20" max="20" width="18.88671875" hidden="1" customWidth="1"/>
    <col min="21" max="21" width="7.109375" hidden="1" customWidth="1"/>
    <col min="22" max="24" width="25" hidden="1" customWidth="1"/>
    <col min="25" max="25" width="24.5546875" hidden="1" customWidth="1"/>
    <col min="26" max="26" width="19" hidden="1" customWidth="1"/>
    <col min="27" max="27" width="10.77734375" hidden="1" customWidth="1"/>
    <col min="28" max="28" width="15.44140625" hidden="1" customWidth="1"/>
    <col min="29" max="29" width="8.88671875" hidden="1" customWidth="1"/>
    <col min="30" max="30" width="10.21875" hidden="1" customWidth="1"/>
    <col min="31" max="31" width="11.6640625" hidden="1" customWidth="1"/>
    <col min="32" max="16384" width="8.88671875" hidden="1"/>
  </cols>
  <sheetData>
    <row r="1" spans="1:31" ht="13.8" customHeight="1">
      <c r="A1" s="173"/>
      <c r="B1" s="173"/>
      <c r="C1" s="196" t="s">
        <v>274</v>
      </c>
      <c r="D1" s="197"/>
      <c r="E1" s="197"/>
      <c r="F1" s="197"/>
      <c r="G1" s="197"/>
      <c r="H1" s="197"/>
      <c r="I1" s="197"/>
      <c r="J1" s="197"/>
      <c r="K1" s="197"/>
      <c r="L1" s="197"/>
      <c r="M1" s="197"/>
      <c r="N1" s="197"/>
      <c r="O1" s="197"/>
      <c r="P1" s="197"/>
      <c r="Q1" s="25"/>
      <c r="R1" s="25"/>
      <c r="S1" s="25"/>
      <c r="T1" s="25"/>
      <c r="U1" s="25"/>
    </row>
    <row r="2" spans="1:31" ht="13.8" customHeight="1" thickBot="1">
      <c r="A2" s="173"/>
      <c r="B2" s="173"/>
      <c r="C2" s="196"/>
      <c r="D2" s="197"/>
      <c r="E2" s="197"/>
      <c r="F2" s="197"/>
      <c r="G2" s="197"/>
      <c r="H2" s="197"/>
      <c r="I2" s="197"/>
      <c r="J2" s="197"/>
      <c r="K2" s="197"/>
      <c r="L2" s="197"/>
      <c r="M2" s="197"/>
      <c r="N2" s="197"/>
      <c r="O2" s="197"/>
      <c r="P2" s="197"/>
      <c r="Q2" s="25"/>
      <c r="R2" s="25"/>
      <c r="S2" s="25"/>
      <c r="T2" s="25"/>
      <c r="U2" s="25"/>
    </row>
    <row r="3" spans="1:31" ht="13.8" customHeight="1">
      <c r="A3" s="173"/>
      <c r="B3" s="173"/>
      <c r="C3" s="149"/>
      <c r="D3" s="150"/>
      <c r="E3" s="150"/>
      <c r="F3" s="150"/>
      <c r="G3" s="150"/>
      <c r="H3" s="150"/>
      <c r="I3" s="150"/>
      <c r="J3" s="150"/>
      <c r="K3" s="150"/>
      <c r="L3" s="150"/>
      <c r="M3" s="150"/>
      <c r="N3" s="150"/>
      <c r="O3" s="150"/>
      <c r="P3" s="151"/>
      <c r="Q3" s="25"/>
      <c r="R3" s="25"/>
      <c r="S3" s="25"/>
      <c r="T3" s="25"/>
      <c r="U3" s="25"/>
      <c r="W3" s="26" t="s">
        <v>267</v>
      </c>
      <c r="X3" s="26" t="s">
        <v>280</v>
      </c>
      <c r="Y3" s="26" t="s">
        <v>279</v>
      </c>
      <c r="Z3" s="26" t="s">
        <v>277</v>
      </c>
      <c r="AA3" t="str">
        <f>E17</f>
        <v>Rule Name</v>
      </c>
      <c r="AB3" t="str">
        <f>E22</f>
        <v>Rule Description</v>
      </c>
      <c r="AD3" t="str">
        <f>K11</f>
        <v xml:space="preserve">Soft Limit </v>
      </c>
      <c r="AE3" t="str">
        <f>K8</f>
        <v>Hard Limit</v>
      </c>
    </row>
    <row r="4" spans="1:31" ht="14.4" customHeight="1">
      <c r="A4" s="173"/>
      <c r="B4" s="173"/>
      <c r="C4" s="152"/>
      <c r="D4" s="122"/>
      <c r="E4" s="122"/>
      <c r="F4" s="122"/>
      <c r="G4" s="122"/>
      <c r="H4" s="122"/>
      <c r="I4" s="122"/>
      <c r="J4" s="122"/>
      <c r="K4" s="122"/>
      <c r="L4" s="122"/>
      <c r="M4" s="122"/>
      <c r="N4" s="122"/>
      <c r="O4" s="122"/>
      <c r="P4" s="153"/>
      <c r="Q4" s="25"/>
      <c r="R4" s="25"/>
      <c r="S4" s="25"/>
      <c r="T4" s="25"/>
      <c r="U4" s="25"/>
      <c r="W4" t="str">
        <f>H8</f>
        <v>Medium</v>
      </c>
      <c r="Y4" t="str">
        <f>H11</f>
        <v>Regulation</v>
      </c>
      <c r="Z4" t="str">
        <f>H14</f>
        <v>Concentration Limits</v>
      </c>
      <c r="AA4">
        <f>H17</f>
        <v>0</v>
      </c>
      <c r="AB4">
        <f>H22</f>
        <v>0</v>
      </c>
      <c r="AD4" t="str">
        <f>M11</f>
        <v>&gt;24</v>
      </c>
      <c r="AE4" t="str">
        <f>M8</f>
        <v>&lt;45</v>
      </c>
    </row>
    <row r="5" spans="1:31" ht="14.4" customHeight="1">
      <c r="A5" s="173"/>
      <c r="B5" s="173"/>
      <c r="C5" s="152"/>
      <c r="D5" s="122"/>
      <c r="E5" s="122"/>
      <c r="F5" s="122"/>
      <c r="G5" s="122"/>
      <c r="H5" s="122"/>
      <c r="I5" s="122"/>
      <c r="J5" s="122"/>
      <c r="K5" s="122"/>
      <c r="L5" s="122"/>
      <c r="M5" s="122"/>
      <c r="N5" s="122"/>
      <c r="O5" s="122"/>
      <c r="P5" s="153"/>
      <c r="Q5" s="25"/>
      <c r="R5" s="25"/>
      <c r="S5" s="25"/>
      <c r="T5" s="25"/>
      <c r="U5" s="25"/>
    </row>
    <row r="6" spans="1:31" ht="14.4" customHeight="1">
      <c r="A6" s="173"/>
      <c r="B6" s="173"/>
      <c r="C6" s="152"/>
      <c r="D6" s="122"/>
      <c r="E6" s="122"/>
      <c r="F6" s="122"/>
      <c r="G6" s="122"/>
      <c r="H6" s="122"/>
      <c r="I6" s="122"/>
      <c r="J6" s="122"/>
      <c r="K6" s="122"/>
      <c r="L6" s="122"/>
      <c r="M6" s="122"/>
      <c r="N6" s="122"/>
      <c r="O6" s="122"/>
      <c r="P6" s="153"/>
      <c r="Q6" s="25"/>
      <c r="R6" s="25"/>
      <c r="S6" s="25"/>
      <c r="T6" s="25"/>
      <c r="U6" s="25"/>
    </row>
    <row r="7" spans="1:31" ht="14.4" customHeight="1">
      <c r="A7" s="173"/>
      <c r="B7" s="173"/>
      <c r="C7" s="152"/>
      <c r="D7" s="122"/>
      <c r="E7" s="122"/>
      <c r="F7" s="122"/>
      <c r="G7" s="122"/>
      <c r="H7" s="122"/>
      <c r="I7" s="122"/>
      <c r="J7" s="122"/>
      <c r="K7" s="122"/>
      <c r="L7" s="122"/>
      <c r="M7" s="122"/>
      <c r="N7" s="122"/>
      <c r="O7" s="122"/>
      <c r="P7" s="153"/>
      <c r="Q7" s="25"/>
      <c r="R7" s="25"/>
      <c r="S7" s="25"/>
      <c r="T7" s="25"/>
      <c r="U7" s="25"/>
    </row>
    <row r="8" spans="1:31" ht="14.4" customHeight="1">
      <c r="A8" s="173"/>
      <c r="B8" s="173"/>
      <c r="C8" s="152"/>
      <c r="D8" s="122"/>
      <c r="E8" s="157" t="s">
        <v>275</v>
      </c>
      <c r="F8" s="157"/>
      <c r="G8" s="122"/>
      <c r="H8" s="209" t="s">
        <v>23</v>
      </c>
      <c r="I8" s="210"/>
      <c r="J8" s="122"/>
      <c r="K8" s="158" t="s">
        <v>8</v>
      </c>
      <c r="L8" s="122"/>
      <c r="M8" s="207" t="s">
        <v>294</v>
      </c>
      <c r="N8" s="208"/>
      <c r="O8" s="122"/>
      <c r="P8" s="153"/>
      <c r="Q8" s="25"/>
      <c r="R8" s="25"/>
      <c r="S8" s="25"/>
      <c r="T8" s="25"/>
      <c r="U8" s="25"/>
    </row>
    <row r="9" spans="1:31" ht="14.4" customHeight="1">
      <c r="A9" s="173"/>
      <c r="B9" s="173"/>
      <c r="C9" s="152"/>
      <c r="D9" s="122"/>
      <c r="E9" s="122"/>
      <c r="F9" s="122"/>
      <c r="G9" s="122"/>
      <c r="H9" s="122"/>
      <c r="I9" s="122"/>
      <c r="J9" s="122"/>
      <c r="K9" s="122"/>
      <c r="L9" s="122"/>
      <c r="M9" s="122"/>
      <c r="N9" s="122"/>
      <c r="O9" s="122"/>
      <c r="P9" s="153"/>
      <c r="Q9" s="25"/>
      <c r="R9" s="25"/>
      <c r="S9" s="25"/>
      <c r="T9" s="25"/>
      <c r="U9" s="25"/>
      <c r="W9" t="s">
        <v>23</v>
      </c>
      <c r="Y9" t="s">
        <v>19</v>
      </c>
      <c r="Z9" t="s">
        <v>20</v>
      </c>
      <c r="AA9">
        <v>0</v>
      </c>
      <c r="AB9">
        <v>0</v>
      </c>
      <c r="AD9" t="s">
        <v>295</v>
      </c>
      <c r="AE9" t="s">
        <v>294</v>
      </c>
    </row>
    <row r="10" spans="1:31" ht="14.4" customHeight="1">
      <c r="A10" s="173"/>
      <c r="B10" s="173"/>
      <c r="C10" s="152"/>
      <c r="D10" s="122"/>
      <c r="E10" s="122"/>
      <c r="F10" s="122"/>
      <c r="G10" s="122"/>
      <c r="H10" s="122"/>
      <c r="I10" s="122"/>
      <c r="J10" s="122"/>
      <c r="K10" s="122"/>
      <c r="L10" s="122"/>
      <c r="M10" s="122"/>
      <c r="N10" s="122"/>
      <c r="O10" s="122"/>
      <c r="P10" s="153"/>
      <c r="Q10" s="25"/>
      <c r="R10" s="25"/>
      <c r="S10" s="25"/>
      <c r="T10" s="25"/>
      <c r="U10" s="25"/>
    </row>
    <row r="11" spans="1:31" ht="14.4" customHeight="1">
      <c r="A11" s="173"/>
      <c r="B11" s="173"/>
      <c r="C11" s="152"/>
      <c r="D11" s="122"/>
      <c r="E11" s="159" t="s">
        <v>276</v>
      </c>
      <c r="F11" s="159"/>
      <c r="G11" s="122"/>
      <c r="H11" s="209" t="s">
        <v>19</v>
      </c>
      <c r="I11" s="210"/>
      <c r="J11" s="122"/>
      <c r="K11" s="158" t="s">
        <v>278</v>
      </c>
      <c r="L11" s="122"/>
      <c r="M11" s="207" t="s">
        <v>295</v>
      </c>
      <c r="N11" s="208"/>
      <c r="O11" s="122"/>
      <c r="P11" s="153"/>
      <c r="Q11" s="25"/>
      <c r="R11" s="25"/>
      <c r="S11" s="25"/>
      <c r="T11" s="25"/>
      <c r="U11" s="25"/>
    </row>
    <row r="12" spans="1:31" ht="14.4" customHeight="1">
      <c r="A12" s="173"/>
      <c r="B12" s="173"/>
      <c r="C12" s="152"/>
      <c r="D12" s="122"/>
      <c r="E12" s="122"/>
      <c r="F12" s="122"/>
      <c r="G12" s="122"/>
      <c r="H12" s="122"/>
      <c r="I12" s="122"/>
      <c r="J12" s="122"/>
      <c r="K12" s="122"/>
      <c r="L12" s="122"/>
      <c r="M12" s="122"/>
      <c r="N12" s="122"/>
      <c r="O12" s="122"/>
      <c r="P12" s="153"/>
      <c r="Q12" s="25"/>
      <c r="R12" s="25"/>
      <c r="S12" s="25"/>
      <c r="T12" s="25"/>
      <c r="U12" s="25"/>
    </row>
    <row r="13" spans="1:31" ht="14.4" customHeight="1">
      <c r="A13" s="173"/>
      <c r="B13" s="173"/>
      <c r="C13" s="152"/>
      <c r="D13" s="122"/>
      <c r="E13" s="122"/>
      <c r="F13" s="122"/>
      <c r="G13" s="122"/>
      <c r="H13" s="122"/>
      <c r="I13" s="122"/>
      <c r="J13" s="122"/>
      <c r="K13" s="122"/>
      <c r="L13" s="122"/>
      <c r="M13" s="122"/>
      <c r="N13" s="122"/>
      <c r="O13" s="122"/>
      <c r="P13" s="153"/>
      <c r="Q13" s="25"/>
      <c r="R13" s="25"/>
      <c r="S13" s="25"/>
      <c r="T13" s="25"/>
      <c r="U13" s="25"/>
    </row>
    <row r="14" spans="1:31" ht="14.4" customHeight="1">
      <c r="A14" s="173"/>
      <c r="B14" s="173"/>
      <c r="C14" s="152"/>
      <c r="D14" s="122"/>
      <c r="E14" s="158" t="s">
        <v>277</v>
      </c>
      <c r="F14" s="122"/>
      <c r="G14" s="122"/>
      <c r="H14" s="209" t="s">
        <v>20</v>
      </c>
      <c r="I14" s="210"/>
      <c r="J14" s="122"/>
      <c r="K14" s="122"/>
      <c r="L14" s="122"/>
      <c r="M14" s="122"/>
      <c r="N14" s="122"/>
      <c r="O14" s="122"/>
      <c r="P14" s="153"/>
      <c r="Q14" s="25"/>
      <c r="R14" s="25"/>
      <c r="S14" s="25"/>
      <c r="T14" s="25"/>
      <c r="U14" s="25"/>
    </row>
    <row r="15" spans="1:31" ht="14.4" customHeight="1">
      <c r="A15" s="173"/>
      <c r="B15" s="173"/>
      <c r="C15" s="152"/>
      <c r="D15" s="122"/>
      <c r="E15" s="122"/>
      <c r="F15" s="122"/>
      <c r="G15" s="122"/>
      <c r="H15" s="122"/>
      <c r="I15" s="122"/>
      <c r="J15" s="122"/>
      <c r="K15" s="122"/>
      <c r="L15" s="122"/>
      <c r="M15" s="122"/>
      <c r="N15" s="122"/>
      <c r="O15" s="122"/>
      <c r="P15" s="153"/>
      <c r="Q15" s="25"/>
      <c r="R15" s="25"/>
      <c r="S15" s="25"/>
      <c r="T15" s="25"/>
      <c r="U15" s="25"/>
    </row>
    <row r="16" spans="1:31" ht="14.4" customHeight="1">
      <c r="A16" s="173"/>
      <c r="B16" s="173"/>
      <c r="C16" s="152"/>
      <c r="D16" s="122"/>
      <c r="E16" s="122"/>
      <c r="F16" s="122"/>
      <c r="G16" s="122"/>
      <c r="H16" s="122"/>
      <c r="I16" s="122"/>
      <c r="J16" s="122"/>
      <c r="K16" s="122"/>
      <c r="L16" s="122"/>
      <c r="M16" s="122"/>
      <c r="N16" s="122"/>
      <c r="O16" s="122"/>
      <c r="P16" s="153"/>
      <c r="Q16" s="25"/>
      <c r="R16" s="25"/>
      <c r="S16" s="25"/>
      <c r="T16" s="25"/>
      <c r="U16" s="25"/>
    </row>
    <row r="17" spans="1:21" ht="14.4" customHeight="1">
      <c r="A17" s="173"/>
      <c r="B17" s="173"/>
      <c r="C17" s="152"/>
      <c r="D17" s="122"/>
      <c r="E17" s="157" t="s">
        <v>4</v>
      </c>
      <c r="F17" s="157"/>
      <c r="G17" s="122"/>
      <c r="H17" s="198"/>
      <c r="I17" s="199"/>
      <c r="J17" s="199"/>
      <c r="K17" s="199"/>
      <c r="L17" s="199"/>
      <c r="M17" s="199"/>
      <c r="N17" s="200"/>
      <c r="O17" s="122"/>
      <c r="P17" s="153"/>
      <c r="Q17" s="25"/>
      <c r="R17" s="25"/>
      <c r="S17" s="25"/>
      <c r="T17" s="25"/>
      <c r="U17" s="25"/>
    </row>
    <row r="18" spans="1:21" ht="14.4" customHeight="1">
      <c r="A18" s="173"/>
      <c r="B18" s="173"/>
      <c r="C18" s="152"/>
      <c r="D18" s="122"/>
      <c r="E18" s="122"/>
      <c r="F18" s="122"/>
      <c r="G18" s="122"/>
      <c r="H18" s="201"/>
      <c r="I18" s="202"/>
      <c r="J18" s="202"/>
      <c r="K18" s="202"/>
      <c r="L18" s="202"/>
      <c r="M18" s="202"/>
      <c r="N18" s="203"/>
      <c r="O18" s="122"/>
      <c r="P18" s="153"/>
      <c r="Q18" s="25"/>
      <c r="R18" s="25"/>
      <c r="S18" s="25"/>
      <c r="T18" s="25"/>
      <c r="U18" s="25"/>
    </row>
    <row r="19" spans="1:21" ht="14.4" customHeight="1">
      <c r="A19" s="173"/>
      <c r="B19" s="173"/>
      <c r="C19" s="152"/>
      <c r="D19" s="122"/>
      <c r="E19" s="122"/>
      <c r="F19" s="122"/>
      <c r="G19" s="122"/>
      <c r="H19" s="204"/>
      <c r="I19" s="205"/>
      <c r="J19" s="205"/>
      <c r="K19" s="205"/>
      <c r="L19" s="205"/>
      <c r="M19" s="205"/>
      <c r="N19" s="206"/>
      <c r="O19" s="122"/>
      <c r="P19" s="153"/>
      <c r="Q19" s="25"/>
      <c r="R19" s="25"/>
      <c r="S19" s="25"/>
      <c r="T19" s="25"/>
      <c r="U19" s="25"/>
    </row>
    <row r="20" spans="1:21" ht="14.4" customHeight="1">
      <c r="A20" s="173"/>
      <c r="B20" s="173"/>
      <c r="C20" s="152"/>
      <c r="D20" s="122"/>
      <c r="E20" s="122"/>
      <c r="F20" s="122"/>
      <c r="G20" s="122"/>
      <c r="H20" s="160"/>
      <c r="I20" s="122"/>
      <c r="J20" s="122"/>
      <c r="K20" s="122"/>
      <c r="L20" s="122"/>
      <c r="M20" s="122"/>
      <c r="N20" s="122"/>
      <c r="O20" s="122"/>
      <c r="P20" s="153"/>
      <c r="Q20" s="25"/>
      <c r="R20" s="25"/>
      <c r="S20" s="25"/>
      <c r="T20" s="25"/>
      <c r="U20" s="25"/>
    </row>
    <row r="21" spans="1:21" ht="14.4" customHeight="1">
      <c r="A21" s="173"/>
      <c r="B21" s="173"/>
      <c r="C21" s="152"/>
      <c r="D21" s="122"/>
      <c r="E21" s="122"/>
      <c r="F21" s="122"/>
      <c r="G21" s="122"/>
      <c r="H21" s="122"/>
      <c r="I21" s="122"/>
      <c r="J21" s="122"/>
      <c r="K21" s="122"/>
      <c r="L21" s="122"/>
      <c r="M21" s="122"/>
      <c r="N21" s="122"/>
      <c r="O21" s="122"/>
      <c r="P21" s="153"/>
      <c r="Q21" s="25"/>
      <c r="R21" s="25"/>
      <c r="S21" s="25"/>
      <c r="T21" s="25"/>
      <c r="U21" s="25"/>
    </row>
    <row r="22" spans="1:21" ht="14.4" customHeight="1">
      <c r="A22" s="173"/>
      <c r="B22" s="173"/>
      <c r="C22" s="152"/>
      <c r="D22" s="122"/>
      <c r="E22" s="157" t="s">
        <v>5</v>
      </c>
      <c r="F22" s="157"/>
      <c r="G22" s="122"/>
      <c r="H22" s="198"/>
      <c r="I22" s="199"/>
      <c r="J22" s="199"/>
      <c r="K22" s="199"/>
      <c r="L22" s="199"/>
      <c r="M22" s="199"/>
      <c r="N22" s="200"/>
      <c r="O22" s="122"/>
      <c r="P22" s="153"/>
      <c r="Q22" s="25"/>
      <c r="R22" s="25"/>
      <c r="S22" s="25"/>
      <c r="T22" s="25"/>
      <c r="U22" s="25"/>
    </row>
    <row r="23" spans="1:21" ht="14.4" customHeight="1">
      <c r="A23" s="173"/>
      <c r="B23" s="173"/>
      <c r="C23" s="152"/>
      <c r="D23" s="122"/>
      <c r="E23" s="122"/>
      <c r="F23" s="122"/>
      <c r="G23" s="122"/>
      <c r="H23" s="201"/>
      <c r="I23" s="202"/>
      <c r="J23" s="202"/>
      <c r="K23" s="202"/>
      <c r="L23" s="202"/>
      <c r="M23" s="202"/>
      <c r="N23" s="203"/>
      <c r="O23" s="122"/>
      <c r="P23" s="153"/>
      <c r="Q23" s="25"/>
      <c r="R23" s="25"/>
      <c r="S23" s="25"/>
      <c r="T23" s="25"/>
      <c r="U23" s="25"/>
    </row>
    <row r="24" spans="1:21" ht="14.4" customHeight="1">
      <c r="A24" s="173"/>
      <c r="B24" s="173"/>
      <c r="C24" s="152"/>
      <c r="D24" s="122"/>
      <c r="E24" s="122"/>
      <c r="F24" s="122"/>
      <c r="G24" s="122"/>
      <c r="H24" s="201"/>
      <c r="I24" s="202"/>
      <c r="J24" s="202"/>
      <c r="K24" s="202"/>
      <c r="L24" s="202"/>
      <c r="M24" s="202"/>
      <c r="N24" s="203"/>
      <c r="O24" s="122"/>
      <c r="P24" s="153"/>
      <c r="Q24" s="25"/>
      <c r="R24" s="25"/>
      <c r="S24" s="25"/>
      <c r="T24" s="25"/>
      <c r="U24" s="25"/>
    </row>
    <row r="25" spans="1:21" ht="14.4" customHeight="1">
      <c r="A25" s="173"/>
      <c r="B25" s="173"/>
      <c r="C25" s="152"/>
      <c r="D25" s="122"/>
      <c r="E25" s="122"/>
      <c r="F25" s="122"/>
      <c r="G25" s="122"/>
      <c r="H25" s="201"/>
      <c r="I25" s="202"/>
      <c r="J25" s="202"/>
      <c r="K25" s="202"/>
      <c r="L25" s="202"/>
      <c r="M25" s="202"/>
      <c r="N25" s="203"/>
      <c r="O25" s="122"/>
      <c r="P25" s="153"/>
      <c r="Q25" s="25"/>
      <c r="R25" s="25"/>
      <c r="S25" s="25"/>
      <c r="T25" s="25"/>
      <c r="U25" s="25"/>
    </row>
    <row r="26" spans="1:21" ht="14.4" customHeight="1">
      <c r="A26" s="173"/>
      <c r="B26" s="173"/>
      <c r="C26" s="152"/>
      <c r="D26" s="122"/>
      <c r="E26" s="122"/>
      <c r="F26" s="122"/>
      <c r="G26" s="122"/>
      <c r="H26" s="201"/>
      <c r="I26" s="202"/>
      <c r="J26" s="202"/>
      <c r="K26" s="202"/>
      <c r="L26" s="202"/>
      <c r="M26" s="202"/>
      <c r="N26" s="203"/>
      <c r="O26" s="122"/>
      <c r="P26" s="153"/>
      <c r="Q26" s="25"/>
      <c r="R26" s="25"/>
      <c r="S26" s="25"/>
      <c r="T26" s="25"/>
      <c r="U26" s="25"/>
    </row>
    <row r="27" spans="1:21" ht="14.4" customHeight="1">
      <c r="A27" s="173"/>
      <c r="B27" s="173"/>
      <c r="C27" s="152"/>
      <c r="D27" s="122"/>
      <c r="E27" s="122"/>
      <c r="F27" s="122"/>
      <c r="G27" s="122"/>
      <c r="H27" s="201"/>
      <c r="I27" s="202"/>
      <c r="J27" s="202"/>
      <c r="K27" s="202"/>
      <c r="L27" s="202"/>
      <c r="M27" s="202"/>
      <c r="N27" s="203"/>
      <c r="O27" s="122"/>
      <c r="P27" s="153"/>
      <c r="Q27" s="25"/>
      <c r="R27" s="25"/>
      <c r="S27" s="25"/>
      <c r="T27" s="25"/>
      <c r="U27" s="25"/>
    </row>
    <row r="28" spans="1:21" ht="13.2" customHeight="1">
      <c r="A28" s="173"/>
      <c r="B28" s="173"/>
      <c r="C28" s="152"/>
      <c r="D28" s="122"/>
      <c r="E28" s="122"/>
      <c r="F28" s="122"/>
      <c r="G28" s="122"/>
      <c r="H28" s="201"/>
      <c r="I28" s="202"/>
      <c r="J28" s="202"/>
      <c r="K28" s="202"/>
      <c r="L28" s="202"/>
      <c r="M28" s="202"/>
      <c r="N28" s="203"/>
      <c r="O28" s="122"/>
      <c r="P28" s="153"/>
      <c r="Q28" s="25"/>
      <c r="R28" s="25"/>
      <c r="S28" s="25"/>
      <c r="T28" s="25"/>
      <c r="U28" s="25"/>
    </row>
    <row r="29" spans="1:21" ht="13.2" customHeight="1">
      <c r="A29" s="173"/>
      <c r="B29" s="173"/>
      <c r="C29" s="152"/>
      <c r="D29" s="122"/>
      <c r="E29" s="122"/>
      <c r="F29" s="122"/>
      <c r="G29" s="122"/>
      <c r="H29" s="201"/>
      <c r="I29" s="202"/>
      <c r="J29" s="202"/>
      <c r="K29" s="202"/>
      <c r="L29" s="202"/>
      <c r="M29" s="202"/>
      <c r="N29" s="203"/>
      <c r="O29" s="122"/>
      <c r="P29" s="153"/>
      <c r="Q29" s="25"/>
      <c r="R29" s="25"/>
      <c r="S29" s="25"/>
      <c r="T29" s="25"/>
      <c r="U29" s="25"/>
    </row>
    <row r="30" spans="1:21" ht="13.2" customHeight="1">
      <c r="A30" s="173"/>
      <c r="B30" s="173"/>
      <c r="C30" s="152"/>
      <c r="D30" s="122"/>
      <c r="E30" s="122"/>
      <c r="F30" s="122"/>
      <c r="G30" s="122"/>
      <c r="H30" s="201"/>
      <c r="I30" s="202"/>
      <c r="J30" s="202"/>
      <c r="K30" s="202"/>
      <c r="L30" s="202"/>
      <c r="M30" s="202"/>
      <c r="N30" s="203"/>
      <c r="O30" s="122"/>
      <c r="P30" s="153"/>
      <c r="Q30" s="25"/>
      <c r="R30" s="25"/>
      <c r="S30" s="25"/>
      <c r="T30" s="25"/>
      <c r="U30" s="25"/>
    </row>
    <row r="31" spans="1:21" ht="13.2" customHeight="1">
      <c r="A31" s="173"/>
      <c r="B31" s="173"/>
      <c r="C31" s="152"/>
      <c r="D31" s="122"/>
      <c r="E31" s="122"/>
      <c r="F31" s="122"/>
      <c r="G31" s="122"/>
      <c r="H31" s="204"/>
      <c r="I31" s="205"/>
      <c r="J31" s="205"/>
      <c r="K31" s="205"/>
      <c r="L31" s="205"/>
      <c r="M31" s="205"/>
      <c r="N31" s="206"/>
      <c r="O31" s="122"/>
      <c r="P31" s="153"/>
      <c r="Q31" s="25"/>
      <c r="R31" s="25"/>
      <c r="S31" s="25"/>
      <c r="T31" s="25"/>
      <c r="U31" s="25"/>
    </row>
    <row r="32" spans="1:21" ht="13.2" customHeight="1">
      <c r="A32" s="173"/>
      <c r="B32" s="173"/>
      <c r="C32" s="152"/>
      <c r="D32" s="122"/>
      <c r="E32" s="122"/>
      <c r="F32" s="122"/>
      <c r="G32" s="122"/>
      <c r="H32" s="160"/>
      <c r="I32" s="122"/>
      <c r="J32" s="122"/>
      <c r="K32" s="122"/>
      <c r="L32" s="122"/>
      <c r="M32" s="122"/>
      <c r="N32" s="122"/>
      <c r="O32" s="122"/>
      <c r="P32" s="153"/>
      <c r="Q32" s="25"/>
      <c r="R32" s="25"/>
      <c r="S32" s="25"/>
      <c r="T32" s="25"/>
      <c r="U32" s="25"/>
    </row>
    <row r="33" spans="1:21" ht="13.8" customHeight="1" thickBot="1">
      <c r="A33" s="173"/>
      <c r="B33" s="173"/>
      <c r="C33" s="154"/>
      <c r="D33" s="155"/>
      <c r="E33" s="155"/>
      <c r="F33" s="155"/>
      <c r="G33" s="155"/>
      <c r="H33" s="155"/>
      <c r="I33" s="155"/>
      <c r="J33" s="155"/>
      <c r="K33" s="155"/>
      <c r="L33" s="155"/>
      <c r="M33" s="155"/>
      <c r="N33" s="155"/>
      <c r="O33" s="155"/>
      <c r="P33" s="156"/>
      <c r="Q33" s="25"/>
      <c r="R33" s="25"/>
      <c r="S33" s="25"/>
      <c r="T33" s="25"/>
      <c r="U33" s="25"/>
    </row>
    <row r="34" spans="1:21" ht="13.2" customHeight="1">
      <c r="A34" s="25"/>
    </row>
    <row r="35" spans="1:21" ht="13.2" customHeight="1">
      <c r="A35" s="25"/>
    </row>
    <row r="36" spans="1:21" ht="13.2" customHeight="1">
      <c r="A36" s="25"/>
    </row>
    <row r="37" spans="1:21" ht="13.2" hidden="1" customHeight="1">
      <c r="A37" s="25"/>
    </row>
    <row r="38" spans="1:21" ht="13.2" hidden="1" customHeight="1">
      <c r="A38" s="25"/>
    </row>
    <row r="39" spans="1:21" ht="70.2" hidden="1" customHeight="1">
      <c r="A39" s="25"/>
      <c r="F39" s="7" t="s">
        <v>11</v>
      </c>
    </row>
    <row r="40" spans="1:21" ht="70.2" hidden="1" customHeight="1">
      <c r="A40" s="25"/>
      <c r="F40" s="7" t="s">
        <v>16</v>
      </c>
    </row>
    <row r="41" spans="1:21" ht="70.2" hidden="1" customHeight="1">
      <c r="F41" s="7" t="s">
        <v>20</v>
      </c>
    </row>
    <row r="42" spans="1:21" ht="70.2" hidden="1" customHeight="1">
      <c r="F42" s="7" t="s">
        <v>24</v>
      </c>
    </row>
    <row r="43" spans="1:21" ht="70.2" hidden="1" customHeight="1"/>
    <row r="44" spans="1:21" ht="70.2" hidden="1" customHeight="1"/>
    <row r="45" spans="1:21" ht="408.6" hidden="1" customHeight="1"/>
    <row r="46" spans="1:21" ht="408.6" hidden="1" customHeight="1"/>
    <row r="47" spans="1:21" ht="408.6" hidden="1" customHeight="1"/>
    <row r="48" spans="1:21" ht="408.6" hidden="1" customHeight="1"/>
    <row r="49" ht="408.6" hidden="1" customHeight="1"/>
    <row r="50" ht="408.6" hidden="1" customHeight="1"/>
    <row r="51" ht="408.6" hidden="1" customHeight="1"/>
    <row r="52" ht="408.6" hidden="1" customHeight="1"/>
    <row r="53" ht="408.6" hidden="1" customHeight="1"/>
    <row r="54" ht="408.6" hidden="1" customHeight="1"/>
    <row r="55" ht="408.6" hidden="1" customHeight="1"/>
    <row r="56" ht="408.6" hidden="1" customHeight="1"/>
    <row r="57" ht="408.6" hidden="1" customHeight="1"/>
    <row r="58" ht="408.6" hidden="1" customHeight="1"/>
    <row r="59" ht="408.6" hidden="1" customHeight="1"/>
    <row r="60" ht="408.6" hidden="1" customHeight="1"/>
    <row r="61" ht="408.6" hidden="1" customHeight="1"/>
    <row r="62" ht="408.6" hidden="1" customHeight="1"/>
    <row r="63" ht="408.6" hidden="1" customHeight="1"/>
    <row r="64" ht="408.6" hidden="1" customHeight="1"/>
    <row r="65" ht="408.6" hidden="1" customHeight="1"/>
    <row r="66" ht="408.6" hidden="1" customHeight="1"/>
    <row r="67" ht="408.6" hidden="1" customHeight="1"/>
    <row r="68" ht="408.6" hidden="1" customHeight="1"/>
    <row r="69" ht="408.6" hidden="1" customHeight="1"/>
    <row r="70" ht="408.6" hidden="1" customHeight="1"/>
    <row r="71" ht="408.6" hidden="1" customHeight="1"/>
    <row r="72" ht="408.6" hidden="1" customHeight="1"/>
    <row r="73" ht="408.6" hidden="1" customHeight="1"/>
    <row r="74" ht="408.6" hidden="1" customHeight="1"/>
    <row r="75" ht="408.6" hidden="1" customHeight="1"/>
    <row r="76" ht="408.6" hidden="1" customHeight="1"/>
    <row r="77" ht="408.6" hidden="1" customHeight="1"/>
    <row r="78" ht="408.6" hidden="1" customHeight="1"/>
    <row r="79" ht="408.6" hidden="1" customHeight="1"/>
    <row r="80" ht="408.6" hidden="1" customHeight="1"/>
    <row r="81" ht="408.6" hidden="1" customHeight="1"/>
    <row r="82" ht="408.6" hidden="1" customHeight="1"/>
    <row r="83" ht="408.6" hidden="1" customHeight="1"/>
    <row r="84" ht="408.6" hidden="1" customHeight="1"/>
    <row r="85" ht="408.6" hidden="1" customHeight="1"/>
    <row r="86" ht="408.6" hidden="1" customHeight="1"/>
    <row r="87" ht="408.6" hidden="1" customHeight="1"/>
    <row r="88" ht="408.6" hidden="1" customHeight="1"/>
    <row r="89" ht="408.6" hidden="1" customHeight="1"/>
    <row r="90" ht="408.6" hidden="1" customHeight="1"/>
    <row r="91" ht="408.6" hidden="1" customHeight="1"/>
    <row r="92" ht="408.6" hidden="1" customHeight="1"/>
    <row r="93" ht="408.6" hidden="1" customHeight="1"/>
    <row r="94" ht="408.6" hidden="1" customHeight="1"/>
    <row r="95" ht="408.6" hidden="1" customHeight="1"/>
    <row r="96" ht="408.6" hidden="1" customHeight="1"/>
    <row r="97" ht="408.6" hidden="1" customHeight="1"/>
    <row r="98" ht="408.6" hidden="1" customHeight="1"/>
    <row r="99" ht="408.6" hidden="1" customHeight="1"/>
    <row r="100" ht="408.6" hidden="1" customHeight="1"/>
    <row r="101" ht="408.6" hidden="1" customHeight="1"/>
    <row r="102" ht="408.6" hidden="1" customHeight="1"/>
    <row r="103" ht="408.6" hidden="1" customHeight="1"/>
    <row r="104" ht="408.6" hidden="1" customHeight="1"/>
    <row r="105" ht="408.6" hidden="1" customHeight="1"/>
    <row r="106" ht="408.6" hidden="1" customHeight="1"/>
    <row r="107" ht="408.6" hidden="1" customHeight="1"/>
    <row r="108" ht="408.6" hidden="1" customHeight="1"/>
    <row r="109" ht="408.6" hidden="1" customHeight="1"/>
    <row r="110" ht="408.6" hidden="1" customHeight="1"/>
    <row r="111" ht="408.6" hidden="1" customHeight="1"/>
    <row r="112" ht="408.6" hidden="1" customHeight="1"/>
    <row r="113" ht="408.6" hidden="1" customHeight="1"/>
    <row r="114" ht="408.6" hidden="1" customHeight="1"/>
    <row r="115" ht="408.6" hidden="1" customHeight="1"/>
    <row r="116" ht="408.6" hidden="1" customHeight="1"/>
    <row r="117" ht="408.6" hidden="1" customHeight="1"/>
    <row r="118" ht="408.6" hidden="1" customHeight="1"/>
    <row r="119" ht="408.6" hidden="1" customHeight="1"/>
    <row r="120" ht="408.6" hidden="1" customHeight="1"/>
    <row r="121" ht="408.6" hidden="1" customHeight="1"/>
    <row r="122" ht="408.6" hidden="1" customHeight="1"/>
    <row r="123" ht="408.6" hidden="1" customHeight="1"/>
    <row r="124" ht="408.6" hidden="1" customHeight="1"/>
    <row r="125" ht="408.6" hidden="1" customHeight="1"/>
    <row r="126" ht="408.6" hidden="1" customHeight="1"/>
    <row r="127" ht="408.6" hidden="1" customHeight="1"/>
    <row r="128" ht="408.6" hidden="1" customHeight="1"/>
    <row r="129" ht="408.6" hidden="1" customHeight="1"/>
    <row r="130" ht="408.6" hidden="1" customHeight="1"/>
    <row r="131" ht="408.6" hidden="1" customHeight="1"/>
    <row r="132" ht="408.6" hidden="1" customHeight="1"/>
    <row r="133" ht="408.6" hidden="1" customHeight="1"/>
    <row r="134" ht="408.6" hidden="1" customHeight="1"/>
    <row r="135" ht="408.6" hidden="1" customHeight="1"/>
    <row r="136" ht="408.6" hidden="1" customHeight="1"/>
    <row r="137" ht="408.6" hidden="1" customHeight="1"/>
    <row r="138" ht="408.6" hidden="1" customHeight="1"/>
    <row r="139" ht="408.6" hidden="1" customHeight="1"/>
    <row r="140" ht="408.6" hidden="1" customHeight="1"/>
    <row r="141" ht="408.6" hidden="1" customHeight="1"/>
    <row r="142" ht="408.6" hidden="1" customHeight="1"/>
    <row r="143" ht="408.6" hidden="1" customHeight="1"/>
    <row r="144" ht="408.6" hidden="1" customHeight="1"/>
    <row r="145" ht="408.6" hidden="1" customHeight="1"/>
    <row r="146" ht="408.6" hidden="1" customHeight="1"/>
    <row r="147" ht="408.6" hidden="1" customHeight="1"/>
    <row r="148" ht="408.6" hidden="1" customHeight="1"/>
    <row r="149" ht="408.6" hidden="1" customHeight="1"/>
    <row r="150" ht="408.6" hidden="1" customHeight="1"/>
    <row r="151" ht="408.6" hidden="1" customHeight="1"/>
    <row r="152" ht="408.6" hidden="1" customHeight="1"/>
    <row r="153" ht="408.6" hidden="1" customHeight="1"/>
    <row r="154" ht="408.6" hidden="1" customHeight="1"/>
    <row r="155" ht="408.6" hidden="1" customHeight="1"/>
    <row r="156" ht="408.6" hidden="1" customHeight="1"/>
    <row r="157" ht="408.6" hidden="1" customHeight="1"/>
    <row r="158" ht="408.6" hidden="1" customHeight="1"/>
    <row r="159" ht="408.6" hidden="1" customHeight="1"/>
    <row r="160" ht="408.6" hidden="1" customHeight="1"/>
    <row r="161" ht="408.6" hidden="1" customHeight="1"/>
    <row r="162" ht="408.6" hidden="1" customHeight="1"/>
    <row r="163" ht="408.6" hidden="1" customHeight="1"/>
    <row r="164" ht="408.6" hidden="1" customHeight="1"/>
    <row r="165" ht="408.6" hidden="1" customHeight="1"/>
    <row r="166" ht="408.6" hidden="1" customHeight="1"/>
    <row r="167" ht="408.6" hidden="1" customHeight="1"/>
    <row r="168" ht="408.6" hidden="1" customHeight="1"/>
    <row r="169" ht="408.6" hidden="1" customHeight="1"/>
    <row r="170" ht="408.6" hidden="1" customHeight="1"/>
    <row r="171" ht="408.6" hidden="1" customHeight="1"/>
    <row r="172" ht="408.6" hidden="1" customHeight="1"/>
    <row r="173" ht="408.6" hidden="1" customHeight="1"/>
    <row r="174" ht="408.6" hidden="1" customHeight="1"/>
    <row r="175" ht="408.6" hidden="1" customHeight="1"/>
    <row r="176" ht="408.6" hidden="1" customHeight="1"/>
    <row r="177" ht="408.6" hidden="1" customHeight="1"/>
    <row r="178" ht="408.6" hidden="1" customHeight="1"/>
    <row r="179" ht="408.6" hidden="1" customHeight="1"/>
    <row r="180" ht="408.6" hidden="1" customHeight="1"/>
    <row r="181" ht="408.6" hidden="1" customHeight="1"/>
    <row r="182" ht="408.6" hidden="1" customHeight="1"/>
    <row r="183" ht="408.6" hidden="1" customHeight="1"/>
    <row r="184" ht="408.6" hidden="1" customHeight="1"/>
    <row r="185" ht="408.6" hidden="1" customHeight="1"/>
    <row r="186" ht="408.6" hidden="1" customHeight="1"/>
    <row r="187" ht="408.6" hidden="1" customHeight="1"/>
    <row r="188" ht="408.6" hidden="1" customHeight="1"/>
    <row r="189" ht="408.6" hidden="1" customHeight="1"/>
    <row r="190" ht="408.6" hidden="1" customHeight="1"/>
    <row r="191" ht="408.6" hidden="1" customHeight="1"/>
    <row r="192" ht="408.6" hidden="1" customHeight="1"/>
    <row r="193" ht="408.6" hidden="1" customHeight="1"/>
    <row r="194" ht="408.6" hidden="1" customHeight="1"/>
    <row r="195" ht="408.6" hidden="1" customHeight="1"/>
    <row r="196" ht="408.6" hidden="1" customHeight="1"/>
    <row r="197" ht="408.6" hidden="1" customHeight="1"/>
    <row r="198" ht="408.6" hidden="1" customHeight="1"/>
    <row r="199" ht="408.6" hidden="1" customHeight="1"/>
    <row r="200" ht="408.6" hidden="1" customHeight="1"/>
    <row r="201" ht="408.6" hidden="1" customHeight="1"/>
    <row r="202" ht="408.6" hidden="1" customHeight="1"/>
    <row r="203" ht="408.6" hidden="1" customHeight="1"/>
    <row r="204" ht="408.6" hidden="1" customHeight="1"/>
    <row r="205" ht="408.6" hidden="1" customHeight="1"/>
    <row r="206" ht="408.6" hidden="1" customHeight="1"/>
    <row r="207" ht="408.6" hidden="1" customHeight="1"/>
    <row r="208" ht="408.6" hidden="1" customHeight="1"/>
    <row r="209" ht="408.6" hidden="1" customHeight="1"/>
    <row r="210" ht="408.6" hidden="1" customHeight="1"/>
    <row r="211" ht="408.6" hidden="1" customHeight="1"/>
    <row r="212" ht="408.6" hidden="1" customHeight="1"/>
    <row r="213" ht="408.6" hidden="1" customHeight="1"/>
    <row r="214" ht="408.6" hidden="1" customHeight="1"/>
    <row r="215" ht="408.6" hidden="1" customHeight="1"/>
    <row r="216" ht="408.6" hidden="1" customHeight="1"/>
    <row r="217" ht="408.6" hidden="1" customHeight="1"/>
    <row r="218" ht="408.6" hidden="1" customHeight="1"/>
    <row r="219" ht="408.6" hidden="1" customHeight="1"/>
    <row r="220" ht="408.6" hidden="1" customHeight="1"/>
    <row r="221" ht="408.6" hidden="1" customHeight="1"/>
    <row r="222" ht="408.6" hidden="1" customHeight="1"/>
    <row r="223" ht="408.6" hidden="1" customHeight="1"/>
    <row r="224" ht="408.6" hidden="1" customHeight="1"/>
    <row r="225" ht="408.6" hidden="1" customHeight="1"/>
    <row r="226" ht="408.6" hidden="1" customHeight="1"/>
    <row r="227" ht="408.6" hidden="1" customHeight="1"/>
    <row r="228" ht="408.6" hidden="1" customHeight="1"/>
    <row r="229" ht="408.6" hidden="1" customHeight="1"/>
    <row r="230" ht="408.6" hidden="1" customHeight="1"/>
    <row r="231" ht="408.6" hidden="1" customHeight="1"/>
    <row r="232" ht="408.6" hidden="1" customHeight="1"/>
    <row r="233" ht="408.6" hidden="1" customHeight="1"/>
    <row r="234" ht="408.6" hidden="1" customHeight="1"/>
    <row r="235" ht="408.6" hidden="1" customHeight="1"/>
    <row r="236" ht="408.6" hidden="1" customHeight="1"/>
    <row r="237" ht="408.6" hidden="1" customHeight="1"/>
    <row r="238" ht="408.6" hidden="1" customHeight="1"/>
    <row r="239" ht="408.6" hidden="1" customHeight="1"/>
    <row r="240" ht="408.6" hidden="1" customHeight="1"/>
    <row r="241" ht="408.6" hidden="1" customHeight="1"/>
    <row r="242" ht="408.6" hidden="1" customHeight="1"/>
    <row r="243" ht="408.6" hidden="1" customHeight="1"/>
    <row r="244" ht="408.6" hidden="1" customHeight="1"/>
    <row r="245" ht="408.6" hidden="1" customHeight="1"/>
    <row r="246" ht="408.6" hidden="1" customHeight="1"/>
    <row r="247" ht="408.6" hidden="1" customHeight="1"/>
    <row r="248" ht="408.6" hidden="1" customHeight="1"/>
    <row r="249" ht="408.6" hidden="1" customHeight="1"/>
    <row r="250" ht="408.6" hidden="1" customHeight="1"/>
    <row r="251" ht="408.6" hidden="1" customHeight="1"/>
    <row r="252" ht="408.6" hidden="1" customHeight="1"/>
    <row r="253" ht="408.6" hidden="1" customHeight="1"/>
    <row r="254" ht="408.6" hidden="1" customHeight="1"/>
    <row r="255" ht="408.6" hidden="1" customHeight="1"/>
    <row r="256" ht="408.6" hidden="1" customHeight="1"/>
    <row r="257" ht="408.6" hidden="1" customHeight="1"/>
    <row r="258" ht="408.6" hidden="1" customHeight="1"/>
    <row r="259" ht="408.6" hidden="1" customHeight="1"/>
    <row r="260" ht="408.6" hidden="1" customHeight="1"/>
    <row r="261" ht="408.6" hidden="1" customHeight="1"/>
    <row r="262" ht="408.6" hidden="1" customHeight="1"/>
    <row r="263" ht="408.6" hidden="1" customHeight="1"/>
    <row r="264" ht="408.6" hidden="1" customHeight="1"/>
    <row r="265" ht="408.6" hidden="1" customHeight="1"/>
    <row r="266" ht="408.6" hidden="1" customHeight="1"/>
    <row r="267" ht="408.6" hidden="1" customHeight="1"/>
    <row r="268" ht="408.6" hidden="1" customHeight="1"/>
    <row r="269" ht="408.6" hidden="1" customHeight="1"/>
    <row r="270" ht="408.6" hidden="1" customHeight="1"/>
    <row r="271" ht="408.6" hidden="1" customHeight="1"/>
    <row r="272" ht="408.6" hidden="1" customHeight="1"/>
    <row r="273" ht="408.6" hidden="1" customHeight="1"/>
    <row r="274" ht="408.6" hidden="1" customHeight="1"/>
    <row r="275" ht="408.6" hidden="1" customHeight="1"/>
    <row r="276" ht="408.6" hidden="1" customHeight="1"/>
    <row r="277" ht="408.6" hidden="1" customHeight="1"/>
    <row r="278" ht="408.6" hidden="1" customHeight="1"/>
    <row r="279" ht="408.6" hidden="1" customHeight="1"/>
    <row r="280" ht="408.6" hidden="1" customHeight="1"/>
    <row r="281" ht="408.6" hidden="1" customHeight="1"/>
    <row r="282" ht="408.6" hidden="1" customHeight="1"/>
    <row r="283" ht="408.6" hidden="1" customHeight="1"/>
    <row r="284" ht="408.6" hidden="1" customHeight="1"/>
    <row r="285" ht="408.6" hidden="1" customHeight="1"/>
    <row r="286" ht="408.6" hidden="1" customHeight="1"/>
    <row r="287" ht="408.6" hidden="1" customHeight="1"/>
    <row r="288" ht="408.6" hidden="1" customHeight="1"/>
    <row r="289" ht="408.6" hidden="1" customHeight="1"/>
    <row r="290" ht="408.6" hidden="1" customHeight="1"/>
    <row r="291" ht="408.6" hidden="1" customHeight="1"/>
    <row r="292" ht="408.6" hidden="1" customHeight="1"/>
    <row r="293" ht="408.6" hidden="1" customHeight="1"/>
    <row r="294" ht="408.6" hidden="1" customHeight="1"/>
    <row r="295" ht="408.6" hidden="1" customHeight="1"/>
    <row r="296" ht="408.6" hidden="1" customHeight="1"/>
    <row r="297" ht="408.6" hidden="1" customHeight="1"/>
    <row r="298" ht="408.6" hidden="1" customHeight="1"/>
    <row r="299" ht="408.6" hidden="1" customHeight="1"/>
    <row r="300" ht="408.6" hidden="1" customHeight="1"/>
    <row r="301" ht="408.6" hidden="1" customHeight="1"/>
    <row r="302" ht="408.6" hidden="1" customHeight="1"/>
    <row r="303" ht="408.6" hidden="1" customHeight="1"/>
    <row r="304" ht="408.6" hidden="1" customHeight="1"/>
    <row r="305" ht="408.6" hidden="1" customHeight="1"/>
    <row r="306" ht="408.6" hidden="1" customHeight="1"/>
    <row r="307" ht="408.6" hidden="1" customHeight="1"/>
    <row r="308" ht="408.6" hidden="1" customHeight="1"/>
    <row r="309" ht="408.6" hidden="1" customHeight="1"/>
    <row r="310" ht="408.6" hidden="1" customHeight="1"/>
    <row r="311" ht="408.6" hidden="1" customHeight="1"/>
    <row r="312" ht="408.6" hidden="1" customHeight="1"/>
    <row r="313" ht="408.6" hidden="1" customHeight="1"/>
    <row r="314" ht="408.6" hidden="1" customHeight="1"/>
    <row r="315" ht="408.6" hidden="1" customHeight="1"/>
    <row r="316" ht="408.6" hidden="1" customHeight="1"/>
    <row r="317" ht="408.6" hidden="1" customHeight="1"/>
    <row r="318" ht="408.6" hidden="1" customHeight="1"/>
    <row r="319" ht="408.6" hidden="1" customHeight="1"/>
    <row r="320" ht="408.6" hidden="1" customHeight="1"/>
    <row r="321" ht="408.6" hidden="1" customHeight="1"/>
    <row r="322" ht="408.6" hidden="1" customHeight="1"/>
    <row r="323" ht="408.6" hidden="1" customHeight="1"/>
    <row r="324" ht="408.6" hidden="1" customHeight="1"/>
    <row r="325" ht="408.6" hidden="1" customHeight="1"/>
    <row r="326" ht="408.6" hidden="1" customHeight="1"/>
    <row r="327" ht="408.6" hidden="1" customHeight="1"/>
    <row r="328" ht="408.6" hidden="1" customHeight="1"/>
    <row r="329" ht="408.6" hidden="1" customHeight="1"/>
    <row r="330" ht="408.6" hidden="1" customHeight="1"/>
    <row r="331" ht="408.6" hidden="1" customHeight="1"/>
    <row r="332" ht="408.6" hidden="1" customHeight="1"/>
    <row r="333" ht="408.6" hidden="1" customHeight="1"/>
    <row r="334" ht="408.6" hidden="1" customHeight="1"/>
    <row r="335" ht="408.6" hidden="1" customHeight="1"/>
    <row r="336" ht="408.6" hidden="1" customHeight="1"/>
    <row r="337" ht="408.6" hidden="1" customHeight="1"/>
    <row r="338" ht="408.6" hidden="1" customHeight="1"/>
    <row r="339" ht="408.6" hidden="1" customHeight="1"/>
    <row r="340" ht="408.6" hidden="1" customHeight="1"/>
    <row r="341" ht="408.6" hidden="1" customHeight="1"/>
    <row r="342" ht="408.6" hidden="1" customHeight="1"/>
    <row r="343" ht="408.6" hidden="1" customHeight="1"/>
    <row r="344" ht="408.6" hidden="1" customHeight="1"/>
    <row r="345" ht="408.6" hidden="1" customHeight="1"/>
    <row r="346" ht="408.6" hidden="1" customHeight="1"/>
    <row r="347" ht="408.6" hidden="1" customHeight="1"/>
    <row r="348" ht="408.6" hidden="1" customHeight="1"/>
    <row r="349" ht="408.6" hidden="1" customHeight="1"/>
    <row r="350" ht="408.6" hidden="1" customHeight="1"/>
    <row r="351" ht="408.6" hidden="1" customHeight="1"/>
    <row r="352" ht="408.6" hidden="1" customHeight="1"/>
    <row r="353" ht="408.6" hidden="1" customHeight="1"/>
    <row r="354" ht="408.6" hidden="1" customHeight="1"/>
    <row r="355" ht="408.6" hidden="1" customHeight="1"/>
    <row r="356" ht="408.6" hidden="1" customHeight="1"/>
    <row r="357" ht="408.6" hidden="1" customHeight="1"/>
    <row r="358" ht="408.6" hidden="1" customHeight="1"/>
    <row r="359" ht="408.6" hidden="1" customHeight="1"/>
    <row r="360" ht="408.6" hidden="1" customHeight="1"/>
    <row r="361" ht="408.6" hidden="1" customHeight="1"/>
    <row r="362" ht="408.6" hidden="1" customHeight="1"/>
    <row r="363" ht="408.6" hidden="1" customHeight="1"/>
    <row r="364" ht="408.6" hidden="1" customHeight="1"/>
    <row r="365" ht="408.6" hidden="1" customHeight="1"/>
    <row r="366" ht="408.6" hidden="1" customHeight="1"/>
    <row r="367" ht="408.6" hidden="1" customHeight="1"/>
    <row r="368" ht="408.6" hidden="1" customHeight="1"/>
    <row r="369" ht="408.6" hidden="1" customHeight="1"/>
    <row r="370" ht="408.6" hidden="1" customHeight="1"/>
    <row r="371" ht="408.6" hidden="1" customHeight="1"/>
    <row r="372" ht="408.6" hidden="1" customHeight="1"/>
    <row r="373" ht="408.6" hidden="1" customHeight="1"/>
    <row r="374" ht="408.6" hidden="1" customHeight="1"/>
    <row r="375" ht="408.6" hidden="1" customHeight="1"/>
    <row r="376" ht="408.6" hidden="1" customHeight="1"/>
    <row r="377" ht="408.6" hidden="1" customHeight="1"/>
    <row r="378" ht="408.6" hidden="1" customHeight="1"/>
    <row r="379" ht="408.6" hidden="1" customHeight="1"/>
    <row r="380" ht="408.6" hidden="1" customHeight="1"/>
    <row r="381" ht="408.6" hidden="1" customHeight="1"/>
    <row r="382" ht="408.6" hidden="1" customHeight="1"/>
    <row r="383" ht="408.6" hidden="1" customHeight="1"/>
    <row r="384" ht="408.6" hidden="1" customHeight="1"/>
    <row r="385" ht="408.6" hidden="1" customHeight="1"/>
    <row r="386" ht="408.6" hidden="1" customHeight="1"/>
    <row r="387" ht="408.6" hidden="1" customHeight="1"/>
    <row r="388" ht="408.6" hidden="1" customHeight="1"/>
    <row r="389" ht="408.6" hidden="1" customHeight="1"/>
    <row r="390" ht="408.6" hidden="1" customHeight="1"/>
    <row r="391" ht="408.6" hidden="1" customHeight="1"/>
    <row r="392" ht="408.6" hidden="1" customHeight="1"/>
    <row r="393" ht="408.6" hidden="1" customHeight="1"/>
    <row r="394" ht="408.6" hidden="1" customHeight="1"/>
    <row r="395" ht="408.6" hidden="1" customHeight="1"/>
    <row r="396" ht="408.6" hidden="1" customHeight="1"/>
    <row r="397" ht="408.6" hidden="1" customHeight="1"/>
    <row r="398" ht="408.6" hidden="1" customHeight="1"/>
    <row r="399" ht="408.6" hidden="1" customHeight="1"/>
    <row r="400" ht="408.6" hidden="1" customHeight="1"/>
    <row r="401" ht="408.6" hidden="1" customHeight="1"/>
    <row r="402" ht="408.6" hidden="1" customHeight="1"/>
    <row r="403" ht="408.6" hidden="1" customHeight="1"/>
    <row r="404" ht="408.6" hidden="1" customHeight="1"/>
    <row r="405" ht="408.6" hidden="1" customHeight="1"/>
    <row r="406" ht="408.6" hidden="1" customHeight="1"/>
    <row r="407" ht="408.6" hidden="1" customHeight="1"/>
    <row r="408" ht="408.6" hidden="1" customHeight="1"/>
    <row r="409" ht="408.6" hidden="1" customHeight="1"/>
    <row r="410" ht="408.6" hidden="1" customHeight="1"/>
    <row r="411" ht="408.6" hidden="1" customHeight="1"/>
    <row r="412" ht="408.6" hidden="1" customHeight="1"/>
    <row r="413" ht="408.6" hidden="1" customHeight="1"/>
    <row r="414" ht="408.6" hidden="1" customHeight="1"/>
    <row r="415" ht="408.6" hidden="1" customHeight="1"/>
    <row r="416" ht="408.6" hidden="1" customHeight="1"/>
    <row r="417" ht="408.6" hidden="1" customHeight="1"/>
    <row r="418" ht="408.6" hidden="1" customHeight="1"/>
    <row r="419" ht="408.6" hidden="1" customHeight="1"/>
    <row r="420" ht="408.6" hidden="1" customHeight="1"/>
    <row r="421" ht="408.6" hidden="1" customHeight="1"/>
    <row r="422" ht="408.6" hidden="1" customHeight="1"/>
    <row r="423" ht="408.6" hidden="1" customHeight="1"/>
    <row r="424" ht="408.6" hidden="1" customHeight="1"/>
    <row r="425" ht="408.6" hidden="1" customHeight="1"/>
    <row r="426" ht="408.6" hidden="1" customHeight="1"/>
    <row r="427" ht="408.6" hidden="1" customHeight="1"/>
    <row r="428" ht="408.6" hidden="1" customHeight="1"/>
    <row r="429" ht="408.6" hidden="1" customHeight="1"/>
    <row r="430" ht="408.6" hidden="1" customHeight="1"/>
    <row r="431" ht="408.6" hidden="1" customHeight="1"/>
    <row r="432" ht="408.6" hidden="1" customHeight="1"/>
    <row r="433" ht="408.6" hidden="1" customHeight="1"/>
    <row r="434" ht="408.6" hidden="1" customHeight="1"/>
    <row r="435" ht="408.6" hidden="1" customHeight="1"/>
    <row r="436" ht="408.6" hidden="1" customHeight="1"/>
    <row r="437" ht="408.6" hidden="1" customHeight="1"/>
    <row r="438" ht="408.6" hidden="1" customHeight="1"/>
    <row r="439" ht="408.6" hidden="1" customHeight="1"/>
    <row r="440" ht="408.6" hidden="1" customHeight="1"/>
    <row r="441" ht="408.6" hidden="1" customHeight="1"/>
    <row r="442" ht="408.6" hidden="1" customHeight="1"/>
    <row r="443" ht="408.6" hidden="1" customHeight="1"/>
    <row r="444" ht="408.6" hidden="1" customHeight="1"/>
    <row r="445" ht="408.6" hidden="1" customHeight="1"/>
    <row r="446" ht="408.6" hidden="1" customHeight="1"/>
    <row r="447" ht="408.6" hidden="1" customHeight="1"/>
    <row r="448" ht="408.6" hidden="1" customHeight="1"/>
    <row r="449" ht="408.6" hidden="1" customHeight="1"/>
    <row r="450" ht="408.6" hidden="1" customHeight="1"/>
    <row r="451" ht="408.6" hidden="1" customHeight="1"/>
    <row r="452" ht="408.6" hidden="1" customHeight="1"/>
    <row r="453" ht="408.6" hidden="1" customHeight="1"/>
    <row r="454" ht="408.6" hidden="1" customHeight="1"/>
    <row r="455" ht="408.6" hidden="1" customHeight="1"/>
    <row r="456" ht="408.6" hidden="1" customHeight="1"/>
    <row r="457" ht="408.6" hidden="1" customHeight="1"/>
    <row r="458" ht="408.6" hidden="1" customHeight="1"/>
    <row r="459" ht="408.6" hidden="1" customHeight="1"/>
    <row r="460" ht="408.6" hidden="1" customHeight="1"/>
    <row r="461" ht="408.6" hidden="1" customHeight="1"/>
    <row r="462" ht="408.6" hidden="1" customHeight="1"/>
    <row r="463" ht="408.6" hidden="1" customHeight="1"/>
    <row r="464" ht="408.6" hidden="1" customHeight="1"/>
    <row r="465" ht="408.6" hidden="1" customHeight="1"/>
    <row r="466" ht="408.6" hidden="1" customHeight="1"/>
    <row r="467" ht="408.6" hidden="1" customHeight="1"/>
    <row r="468" ht="408.6" hidden="1" customHeight="1"/>
    <row r="469" ht="408.6" hidden="1" customHeight="1"/>
    <row r="470" ht="408.6" hidden="1" customHeight="1"/>
    <row r="471" ht="408.6" hidden="1" customHeight="1"/>
    <row r="472" ht="408.6" hidden="1" customHeight="1"/>
    <row r="473" ht="408.6" hidden="1" customHeight="1"/>
    <row r="474" ht="408.6" hidden="1" customHeight="1"/>
    <row r="475" ht="408.6" hidden="1" customHeight="1"/>
    <row r="476" ht="408.6" hidden="1" customHeight="1"/>
    <row r="477" ht="408.6" hidden="1" customHeight="1"/>
    <row r="478" ht="408.6" hidden="1" customHeight="1"/>
    <row r="479" ht="408.6" hidden="1" customHeight="1"/>
    <row r="480" ht="408.6" hidden="1" customHeight="1"/>
    <row r="481" ht="408.6" hidden="1" customHeight="1"/>
    <row r="482" ht="408.6" hidden="1" customHeight="1"/>
    <row r="483" ht="408.6" hidden="1" customHeight="1"/>
    <row r="484" ht="408.6" hidden="1" customHeight="1"/>
    <row r="485" ht="408.6" hidden="1" customHeight="1"/>
    <row r="486" ht="408.6" hidden="1" customHeight="1"/>
    <row r="487" ht="408.6" hidden="1" customHeight="1"/>
    <row r="488" ht="408.6" hidden="1" customHeight="1"/>
    <row r="489" ht="408.6" hidden="1" customHeight="1"/>
    <row r="490" ht="408.6" hidden="1" customHeight="1"/>
    <row r="491" ht="408.6" hidden="1" customHeight="1"/>
    <row r="492" ht="408.6" hidden="1" customHeight="1"/>
    <row r="493" ht="408.6" hidden="1" customHeight="1"/>
    <row r="494" ht="408.6" hidden="1" customHeight="1"/>
    <row r="495" ht="408.6" hidden="1" customHeight="1"/>
    <row r="496" ht="408.6" hidden="1" customHeight="1"/>
    <row r="497" ht="408.6" hidden="1" customHeight="1"/>
    <row r="498" ht="408.6" hidden="1" customHeight="1"/>
    <row r="499" ht="408.6" hidden="1" customHeight="1"/>
    <row r="500" ht="408.6" hidden="1" customHeight="1"/>
    <row r="501" ht="408.6" hidden="1" customHeight="1"/>
    <row r="502" ht="408.6" hidden="1" customHeight="1"/>
    <row r="503" ht="408.6" hidden="1" customHeight="1"/>
    <row r="504" ht="408.6" hidden="1" customHeight="1"/>
    <row r="505" ht="408.6" hidden="1" customHeight="1"/>
    <row r="506" ht="408.6" hidden="1" customHeight="1"/>
    <row r="507" ht="408.6" hidden="1" customHeight="1"/>
    <row r="508" ht="408.6" hidden="1" customHeight="1"/>
    <row r="509" ht="408.6" hidden="1" customHeight="1"/>
    <row r="510" ht="408.6" hidden="1" customHeight="1"/>
    <row r="511" ht="408.6" hidden="1" customHeight="1"/>
    <row r="512" ht="408.6" hidden="1" customHeight="1"/>
    <row r="513" ht="408.6" hidden="1" customHeight="1"/>
    <row r="514" ht="408.6" hidden="1" customHeight="1"/>
    <row r="515" ht="408.6" hidden="1" customHeight="1"/>
    <row r="516" ht="408.6" hidden="1" customHeight="1"/>
    <row r="517" ht="408.6" hidden="1" customHeight="1"/>
    <row r="518" ht="408.6" hidden="1" customHeight="1"/>
    <row r="519" ht="408.6" hidden="1" customHeight="1"/>
    <row r="520" ht="408.6" hidden="1" customHeight="1"/>
    <row r="521" ht="408.6" hidden="1" customHeight="1"/>
    <row r="522" ht="408.6" hidden="1" customHeight="1"/>
    <row r="523" ht="408.6" hidden="1" customHeight="1"/>
    <row r="524" ht="408.6" hidden="1" customHeight="1"/>
    <row r="525" ht="408.6" hidden="1" customHeight="1"/>
    <row r="526" ht="408.6" hidden="1" customHeight="1"/>
    <row r="527" ht="408.6" hidden="1" customHeight="1"/>
    <row r="528" ht="408.6" hidden="1" customHeight="1"/>
    <row r="529" ht="408.6" hidden="1" customHeight="1"/>
    <row r="530" ht="408.6" hidden="1" customHeight="1"/>
    <row r="531" ht="408.6" hidden="1" customHeight="1"/>
    <row r="532" ht="408.6" hidden="1" customHeight="1"/>
    <row r="533" ht="408.6" hidden="1" customHeight="1"/>
    <row r="534" ht="408.6" hidden="1" customHeight="1"/>
    <row r="535" ht="408.6" hidden="1" customHeight="1"/>
    <row r="536" ht="408.6" hidden="1" customHeight="1"/>
    <row r="537" ht="408.6" hidden="1" customHeight="1"/>
    <row r="538" ht="408.6" hidden="1" customHeight="1"/>
    <row r="539" ht="408.6" hidden="1" customHeight="1"/>
    <row r="540" ht="408.6" hidden="1" customHeight="1"/>
    <row r="541" ht="408.6" hidden="1" customHeight="1"/>
    <row r="542" ht="408.6" hidden="1" customHeight="1"/>
    <row r="543" ht="408.6" hidden="1" customHeight="1"/>
    <row r="544" ht="408.6" hidden="1" customHeight="1"/>
    <row r="545" ht="408.6" hidden="1" customHeight="1"/>
    <row r="546" ht="408.6" hidden="1" customHeight="1"/>
    <row r="547" ht="408.6" hidden="1" customHeight="1"/>
    <row r="548" ht="408.6" hidden="1" customHeight="1"/>
    <row r="549" ht="408.6" hidden="1" customHeight="1"/>
    <row r="550" ht="408.6" hidden="1" customHeight="1"/>
    <row r="551" ht="408.6" hidden="1" customHeight="1"/>
    <row r="552" ht="408.6" hidden="1" customHeight="1"/>
    <row r="553" ht="408.6" hidden="1" customHeight="1"/>
    <row r="554" ht="408.6" hidden="1" customHeight="1"/>
    <row r="555" ht="408.6" hidden="1" customHeight="1"/>
    <row r="556" ht="408.6" hidden="1" customHeight="1"/>
    <row r="557" ht="408.6" hidden="1" customHeight="1"/>
    <row r="558" ht="408.6" hidden="1" customHeight="1"/>
    <row r="559" ht="408.6" hidden="1" customHeight="1"/>
    <row r="560" ht="408.6" hidden="1" customHeight="1"/>
    <row r="561" ht="408.6" hidden="1" customHeight="1"/>
    <row r="562" ht="408.6" hidden="1" customHeight="1"/>
    <row r="563" ht="408.6" hidden="1" customHeight="1"/>
    <row r="564" ht="408.6" hidden="1" customHeight="1"/>
    <row r="565" ht="408.6" hidden="1" customHeight="1"/>
    <row r="566" ht="408.6" hidden="1" customHeight="1"/>
    <row r="567" ht="408.6" hidden="1" customHeight="1"/>
    <row r="568" ht="408.6" hidden="1" customHeight="1"/>
    <row r="569" ht="408.6" hidden="1" customHeight="1"/>
    <row r="570" ht="408.6" hidden="1" customHeight="1"/>
    <row r="571" ht="408.6" hidden="1" customHeight="1"/>
    <row r="572" ht="408.6" hidden="1" customHeight="1"/>
    <row r="573" ht="408.6" hidden="1" customHeight="1"/>
    <row r="574" ht="408.6" hidden="1" customHeight="1"/>
    <row r="575" ht="408.6" hidden="1" customHeight="1"/>
    <row r="576" ht="408.6" hidden="1" customHeight="1"/>
    <row r="577" ht="408.6" hidden="1" customHeight="1"/>
    <row r="578" ht="408.6" hidden="1" customHeight="1"/>
    <row r="579" ht="408.6" hidden="1" customHeight="1"/>
    <row r="580" ht="408.6" hidden="1" customHeight="1"/>
    <row r="581" ht="408.6" hidden="1" customHeight="1"/>
    <row r="582" ht="408.6" hidden="1" customHeight="1"/>
    <row r="583" ht="408.6" hidden="1" customHeight="1"/>
    <row r="584" ht="408.6" hidden="1" customHeight="1"/>
    <row r="585" ht="408.6" hidden="1" customHeight="1"/>
    <row r="586" ht="408.6" hidden="1" customHeight="1"/>
    <row r="587" ht="408.6" hidden="1" customHeight="1"/>
    <row r="588" ht="408.6" hidden="1" customHeight="1"/>
    <row r="589" ht="408.6" hidden="1" customHeight="1"/>
    <row r="590" ht="408.6" hidden="1" customHeight="1"/>
    <row r="591" ht="408.6" hidden="1" customHeight="1"/>
    <row r="592" ht="408.6" hidden="1" customHeight="1"/>
    <row r="593" ht="408.6" hidden="1" customHeight="1"/>
    <row r="594" ht="408.6" hidden="1" customHeight="1"/>
    <row r="595" ht="408.6" hidden="1" customHeight="1"/>
    <row r="596" ht="408.6" hidden="1" customHeight="1"/>
    <row r="597" ht="408.6" hidden="1" customHeight="1"/>
    <row r="598" ht="408.6" hidden="1" customHeight="1"/>
    <row r="599" ht="408.6" hidden="1" customHeight="1"/>
    <row r="600" ht="408.6" hidden="1" customHeight="1"/>
    <row r="601" ht="408.6" hidden="1" customHeight="1"/>
    <row r="602" ht="408.6" hidden="1" customHeight="1"/>
    <row r="603" ht="408.6" hidden="1" customHeight="1"/>
    <row r="604" ht="408.6" hidden="1" customHeight="1"/>
    <row r="605" ht="408.6" hidden="1" customHeight="1"/>
    <row r="606" ht="408.6" hidden="1" customHeight="1"/>
    <row r="607" ht="408.6" hidden="1" customHeight="1"/>
    <row r="608" ht="408.6" hidden="1" customHeight="1"/>
    <row r="609" ht="408.6" hidden="1" customHeight="1"/>
    <row r="610" ht="408.6" hidden="1" customHeight="1"/>
    <row r="611" ht="408.6" hidden="1" customHeight="1"/>
    <row r="612" ht="408.6" hidden="1" customHeight="1"/>
    <row r="613" ht="408.6" hidden="1" customHeight="1"/>
    <row r="614" ht="408.6" hidden="1" customHeight="1"/>
    <row r="615" ht="408.6" hidden="1" customHeight="1"/>
    <row r="616" ht="408.6" hidden="1" customHeight="1"/>
    <row r="617" ht="408.6" hidden="1" customHeight="1"/>
    <row r="618" ht="408.6" hidden="1" customHeight="1"/>
    <row r="619" ht="408.6" hidden="1" customHeight="1"/>
    <row r="620" ht="408.6" hidden="1" customHeight="1"/>
    <row r="621" ht="408.6" hidden="1" customHeight="1"/>
    <row r="622" ht="408.6" hidden="1" customHeight="1"/>
    <row r="623" ht="408.6" hidden="1" customHeight="1"/>
    <row r="624" ht="408.6" hidden="1" customHeight="1"/>
    <row r="625" ht="408.6" hidden="1" customHeight="1"/>
    <row r="626" ht="408.6" hidden="1" customHeight="1"/>
    <row r="627" ht="408.6" hidden="1" customHeight="1"/>
    <row r="628" ht="408.6" hidden="1" customHeight="1"/>
    <row r="629" ht="408.6" hidden="1" customHeight="1"/>
    <row r="630" ht="408.6" hidden="1" customHeight="1"/>
    <row r="631" ht="408.6" hidden="1" customHeight="1"/>
    <row r="632" ht="408.6" hidden="1" customHeight="1"/>
    <row r="633" ht="408.6" hidden="1" customHeight="1"/>
    <row r="634" ht="408.6" hidden="1" customHeight="1"/>
    <row r="635" ht="408.6" hidden="1" customHeight="1"/>
    <row r="636" ht="408.6" hidden="1" customHeight="1"/>
    <row r="637" ht="408.6" hidden="1" customHeight="1"/>
    <row r="638" ht="408.6" hidden="1" customHeight="1"/>
    <row r="639" ht="408.6" hidden="1" customHeight="1"/>
    <row r="640" ht="408.6" hidden="1" customHeight="1"/>
    <row r="641" ht="408.6" hidden="1" customHeight="1"/>
    <row r="642" ht="408.6" hidden="1" customHeight="1"/>
    <row r="643" ht="408.6" hidden="1" customHeight="1"/>
    <row r="644" ht="408.6" hidden="1" customHeight="1"/>
    <row r="645" ht="408.6" hidden="1" customHeight="1"/>
    <row r="646" ht="408.6" hidden="1" customHeight="1"/>
    <row r="647" ht="408.6" hidden="1" customHeight="1"/>
    <row r="648" ht="408.6" hidden="1" customHeight="1"/>
    <row r="649" ht="408.6" hidden="1" customHeight="1"/>
    <row r="650" ht="408.6" hidden="1" customHeight="1"/>
    <row r="651" ht="408.6" hidden="1" customHeight="1"/>
    <row r="652" ht="408.6" hidden="1" customHeight="1"/>
    <row r="653" ht="408.6" hidden="1" customHeight="1"/>
    <row r="654" ht="408.6" hidden="1" customHeight="1"/>
    <row r="655" ht="408.6" hidden="1" customHeight="1"/>
    <row r="656" ht="408.6" hidden="1" customHeight="1"/>
    <row r="657" ht="408.6" hidden="1" customHeight="1"/>
    <row r="658" ht="408.6" hidden="1" customHeight="1"/>
    <row r="659" ht="408.6" hidden="1" customHeight="1"/>
    <row r="660" ht="408.6" hidden="1" customHeight="1"/>
    <row r="661" ht="408.6" hidden="1" customHeight="1"/>
    <row r="662" ht="408.6" hidden="1" customHeight="1"/>
    <row r="663" ht="408.6" hidden="1" customHeight="1"/>
    <row r="664" ht="408.6" hidden="1" customHeight="1"/>
    <row r="665" ht="408.6" hidden="1" customHeight="1"/>
    <row r="666" ht="408.6" hidden="1" customHeight="1"/>
    <row r="667" ht="408.6" hidden="1" customHeight="1"/>
    <row r="668" ht="408.6" hidden="1" customHeight="1"/>
    <row r="669" ht="408.6" hidden="1" customHeight="1"/>
    <row r="670" ht="408.6" hidden="1" customHeight="1"/>
    <row r="671" ht="408.6" hidden="1" customHeight="1"/>
    <row r="672" ht="408.6" hidden="1" customHeight="1"/>
    <row r="673" ht="408.6" hidden="1" customHeight="1"/>
    <row r="674" ht="408.6" hidden="1" customHeight="1"/>
    <row r="675" ht="408.6" hidden="1" customHeight="1"/>
    <row r="676" ht="408.6" hidden="1" customHeight="1"/>
    <row r="677" ht="408.6" hidden="1" customHeight="1"/>
    <row r="678" ht="408.6" hidden="1" customHeight="1"/>
    <row r="679" ht="408.6" hidden="1" customHeight="1"/>
    <row r="680" ht="408.6" hidden="1" customHeight="1"/>
    <row r="681" ht="408.6" hidden="1" customHeight="1"/>
    <row r="682" ht="408.6" hidden="1" customHeight="1"/>
    <row r="683" ht="408.6" hidden="1" customHeight="1"/>
    <row r="684" ht="408.6" hidden="1" customHeight="1"/>
    <row r="685" ht="408.6" hidden="1" customHeight="1"/>
    <row r="686" ht="408.6" hidden="1" customHeight="1"/>
    <row r="687" ht="408.6" hidden="1" customHeight="1"/>
    <row r="688" ht="408.6" hidden="1" customHeight="1"/>
    <row r="689" ht="408.6" hidden="1" customHeight="1"/>
    <row r="690" ht="408.6" hidden="1" customHeight="1"/>
    <row r="691" ht="408.6" hidden="1" customHeight="1"/>
    <row r="692" ht="408.6" hidden="1" customHeight="1"/>
    <row r="693" ht="408.6" hidden="1" customHeight="1"/>
    <row r="694" ht="408.6" hidden="1" customHeight="1"/>
    <row r="695" ht="408.6" hidden="1" customHeight="1"/>
    <row r="696" ht="408.6" hidden="1" customHeight="1"/>
    <row r="697" ht="408.6" hidden="1" customHeight="1"/>
    <row r="698" ht="408.6" hidden="1" customHeight="1"/>
    <row r="699" ht="408.6" hidden="1" customHeight="1"/>
    <row r="700" ht="408.6" hidden="1" customHeight="1"/>
    <row r="701" ht="408.6" hidden="1" customHeight="1"/>
    <row r="702" ht="408.6" hidden="1" customHeight="1"/>
    <row r="703" ht="408.6" hidden="1" customHeight="1"/>
    <row r="704" ht="408.6" hidden="1" customHeight="1"/>
    <row r="705" ht="408.6" hidden="1" customHeight="1"/>
    <row r="706" ht="408.6" hidden="1" customHeight="1"/>
    <row r="707" ht="408.6" hidden="1" customHeight="1"/>
    <row r="708" ht="408.6" hidden="1" customHeight="1"/>
    <row r="709" ht="408.6" hidden="1" customHeight="1"/>
    <row r="710" ht="408.6" hidden="1" customHeight="1"/>
    <row r="711" ht="408.6" hidden="1" customHeight="1"/>
    <row r="712" ht="408.6" hidden="1" customHeight="1"/>
    <row r="713" ht="408.6" hidden="1" customHeight="1"/>
    <row r="714" ht="408.6" hidden="1" customHeight="1"/>
    <row r="715" ht="408.6" hidden="1" customHeight="1"/>
    <row r="716" ht="408.6" hidden="1" customHeight="1"/>
    <row r="717" ht="408.6" hidden="1" customHeight="1"/>
    <row r="718" ht="408.6" hidden="1" customHeight="1"/>
    <row r="719" ht="408.6" hidden="1" customHeight="1"/>
    <row r="720" ht="408.6" hidden="1" customHeight="1"/>
    <row r="721" ht="408.6" hidden="1" customHeight="1"/>
    <row r="722" ht="408.6" hidden="1" customHeight="1"/>
    <row r="723" ht="408.6" hidden="1" customHeight="1"/>
    <row r="724" ht="408.6" hidden="1" customHeight="1"/>
    <row r="725" ht="408.6" hidden="1" customHeight="1"/>
    <row r="726" ht="408.6" hidden="1" customHeight="1"/>
    <row r="727" ht="408.6" hidden="1" customHeight="1"/>
    <row r="728" ht="408.6" hidden="1" customHeight="1"/>
    <row r="729" ht="408.6" hidden="1" customHeight="1"/>
    <row r="730" ht="408.6" hidden="1" customHeight="1"/>
    <row r="731" ht="408.6" hidden="1" customHeight="1"/>
    <row r="732" ht="408.6" hidden="1" customHeight="1"/>
    <row r="733" ht="408.6" hidden="1" customHeight="1"/>
    <row r="734" ht="408.6" hidden="1" customHeight="1"/>
    <row r="735" ht="408.6" hidden="1" customHeight="1"/>
    <row r="736" ht="408.6" hidden="1" customHeight="1"/>
    <row r="737" ht="408.6" hidden="1" customHeight="1"/>
    <row r="738" ht="408.6" hidden="1" customHeight="1"/>
    <row r="739" ht="408.6" hidden="1" customHeight="1"/>
    <row r="740" ht="408.6" hidden="1" customHeight="1"/>
    <row r="741" ht="408.6" hidden="1" customHeight="1"/>
    <row r="742" ht="408.6" hidden="1" customHeight="1"/>
    <row r="743" ht="408.6" hidden="1" customHeight="1"/>
    <row r="744" ht="408.6" hidden="1" customHeight="1"/>
    <row r="745" ht="408.6" hidden="1" customHeight="1"/>
    <row r="746" ht="408.6" hidden="1" customHeight="1"/>
    <row r="747" ht="408.6" hidden="1" customHeight="1"/>
    <row r="748" ht="408.6" hidden="1" customHeight="1"/>
    <row r="749" ht="408.6" hidden="1" customHeight="1"/>
    <row r="750" ht="408.6" hidden="1" customHeight="1"/>
    <row r="751" ht="408.6" hidden="1" customHeight="1"/>
    <row r="752" ht="408.6" hidden="1" customHeight="1"/>
    <row r="753" ht="408.6" hidden="1" customHeight="1"/>
    <row r="754" ht="408.6" hidden="1" customHeight="1"/>
    <row r="755" ht="408.6" hidden="1" customHeight="1"/>
    <row r="756" ht="408.6" hidden="1" customHeight="1"/>
    <row r="757" ht="408.6" hidden="1" customHeight="1"/>
    <row r="758" ht="408.6" hidden="1" customHeight="1"/>
    <row r="759" ht="408.6" hidden="1" customHeight="1"/>
    <row r="760" ht="408.6" hidden="1" customHeight="1"/>
    <row r="761" ht="408.6" hidden="1" customHeight="1"/>
    <row r="762" ht="408.6" hidden="1" customHeight="1"/>
    <row r="763" ht="408.6" hidden="1" customHeight="1"/>
    <row r="764" ht="408.6" hidden="1" customHeight="1"/>
    <row r="765" ht="408.6" hidden="1" customHeight="1"/>
    <row r="766" ht="408.6" hidden="1" customHeight="1"/>
    <row r="767" ht="408.6" hidden="1" customHeight="1"/>
    <row r="768" ht="408.6" hidden="1" customHeight="1"/>
    <row r="769" ht="408.6" hidden="1" customHeight="1"/>
    <row r="770" ht="408.6" hidden="1" customHeight="1"/>
    <row r="771" ht="408.6" hidden="1" customHeight="1"/>
    <row r="772" ht="408.6" hidden="1" customHeight="1"/>
    <row r="773" ht="408.6" hidden="1" customHeight="1"/>
    <row r="774" ht="408.6" hidden="1" customHeight="1"/>
    <row r="775" ht="408.6" hidden="1" customHeight="1"/>
    <row r="776" ht="408.6" hidden="1" customHeight="1"/>
    <row r="777" ht="408.6" hidden="1" customHeight="1"/>
    <row r="778" ht="408.6" hidden="1" customHeight="1"/>
    <row r="779" ht="408.6" hidden="1" customHeight="1"/>
    <row r="780" ht="408.6" hidden="1" customHeight="1"/>
    <row r="781" ht="408.6" hidden="1" customHeight="1"/>
    <row r="782" ht="408.6" hidden="1" customHeight="1"/>
    <row r="783" ht="408.6" hidden="1" customHeight="1"/>
    <row r="784" ht="408.6" hidden="1" customHeight="1"/>
    <row r="785" ht="408.6" hidden="1" customHeight="1"/>
    <row r="786" ht="408.6" hidden="1" customHeight="1"/>
    <row r="787" ht="408.6" hidden="1" customHeight="1"/>
    <row r="788" ht="408.6" hidden="1" customHeight="1"/>
    <row r="789" ht="408.6" hidden="1" customHeight="1"/>
    <row r="790" ht="408.6" hidden="1" customHeight="1"/>
    <row r="791" ht="408.6" hidden="1" customHeight="1"/>
    <row r="792" ht="408.6" hidden="1" customHeight="1"/>
    <row r="793" ht="408.6" hidden="1" customHeight="1"/>
    <row r="794" ht="408.6" hidden="1" customHeight="1"/>
    <row r="795" ht="408.6" hidden="1" customHeight="1"/>
    <row r="796" ht="408.6" hidden="1" customHeight="1"/>
    <row r="797" ht="408.6" hidden="1" customHeight="1"/>
    <row r="798" ht="408.6" hidden="1" customHeight="1"/>
    <row r="799" ht="408.6" hidden="1" customHeight="1"/>
    <row r="800" ht="408.6" hidden="1" customHeight="1"/>
    <row r="801" ht="408.6" hidden="1" customHeight="1"/>
    <row r="802" ht="408.6" hidden="1" customHeight="1"/>
    <row r="803" ht="408.6" hidden="1" customHeight="1"/>
    <row r="804" ht="408.6" hidden="1" customHeight="1"/>
    <row r="805" ht="408.6" hidden="1" customHeight="1"/>
    <row r="806" ht="408.6" hidden="1" customHeight="1"/>
    <row r="807" ht="408.6" hidden="1" customHeight="1"/>
    <row r="808" ht="408.6" hidden="1" customHeight="1"/>
    <row r="809" ht="408.6" hidden="1" customHeight="1"/>
    <row r="810" ht="408.6" hidden="1" customHeight="1"/>
    <row r="811" ht="408.6" hidden="1" customHeight="1"/>
    <row r="812" ht="408.6" hidden="1" customHeight="1"/>
    <row r="813" ht="408.6" hidden="1" customHeight="1"/>
    <row r="814" ht="408.6" hidden="1" customHeight="1"/>
    <row r="815" ht="408.6" hidden="1" customHeight="1"/>
    <row r="816" ht="408.6" hidden="1" customHeight="1"/>
    <row r="817" ht="408.6" hidden="1" customHeight="1"/>
    <row r="818" ht="408.6" hidden="1" customHeight="1"/>
    <row r="819" ht="408.6" hidden="1" customHeight="1"/>
    <row r="820" ht="408.6" hidden="1" customHeight="1"/>
    <row r="821" ht="408.6" hidden="1" customHeight="1"/>
    <row r="822" ht="408.6" hidden="1" customHeight="1"/>
    <row r="823" ht="408.6" hidden="1" customHeight="1"/>
    <row r="824" ht="408.6" hidden="1" customHeight="1"/>
    <row r="825" ht="408.6" hidden="1" customHeight="1"/>
    <row r="826" ht="408.6" hidden="1" customHeight="1"/>
    <row r="827" ht="408.6" hidden="1" customHeight="1"/>
    <row r="828" ht="408.6" hidden="1" customHeight="1"/>
    <row r="829" ht="408.6" hidden="1" customHeight="1"/>
    <row r="830" ht="408.6" hidden="1" customHeight="1"/>
    <row r="831" ht="408.6" hidden="1" customHeight="1"/>
    <row r="832" ht="408.6" hidden="1" customHeight="1"/>
    <row r="833" ht="408.6" hidden="1" customHeight="1"/>
    <row r="834" ht="408.6" hidden="1" customHeight="1"/>
    <row r="835" ht="408.6" hidden="1" customHeight="1"/>
    <row r="836" ht="408.6" hidden="1" customHeight="1"/>
    <row r="837" ht="408.6" hidden="1" customHeight="1"/>
    <row r="838" ht="408.6" hidden="1" customHeight="1"/>
    <row r="839" ht="408.6" hidden="1" customHeight="1"/>
    <row r="840" ht="408.6" hidden="1" customHeight="1"/>
    <row r="841" ht="408.6" hidden="1" customHeight="1"/>
    <row r="842" ht="408.6" hidden="1" customHeight="1"/>
    <row r="843" ht="408.6" hidden="1" customHeight="1"/>
    <row r="844" ht="408.6" hidden="1" customHeight="1"/>
    <row r="845" ht="408.6" hidden="1" customHeight="1"/>
    <row r="846" ht="408.6" hidden="1" customHeight="1"/>
    <row r="847" ht="408.6" hidden="1" customHeight="1"/>
    <row r="848" ht="408.6" hidden="1" customHeight="1"/>
    <row r="849" ht="408.6" hidden="1" customHeight="1"/>
    <row r="850" ht="408.6" hidden="1" customHeight="1"/>
    <row r="851" ht="408.6" hidden="1" customHeight="1"/>
    <row r="852" ht="408.6" hidden="1" customHeight="1"/>
    <row r="853" ht="408.6" hidden="1" customHeight="1"/>
    <row r="854" ht="408.6" hidden="1" customHeight="1"/>
    <row r="855" ht="408.6" hidden="1" customHeight="1"/>
    <row r="856" ht="408.6" hidden="1" customHeight="1"/>
    <row r="857" ht="408.6" hidden="1" customHeight="1"/>
    <row r="858" ht="408.6" hidden="1" customHeight="1"/>
    <row r="859" ht="408.6" hidden="1" customHeight="1"/>
    <row r="860" ht="408.6" hidden="1" customHeight="1"/>
    <row r="861" ht="408.6" hidden="1" customHeight="1"/>
    <row r="862" ht="408.6" hidden="1" customHeight="1"/>
    <row r="863" ht="408.6" hidden="1" customHeight="1"/>
    <row r="864" ht="408.6" hidden="1" customHeight="1"/>
    <row r="865" ht="408.6" hidden="1" customHeight="1"/>
    <row r="866" ht="408.6" hidden="1" customHeight="1"/>
    <row r="867" ht="408.6" hidden="1" customHeight="1"/>
    <row r="868" ht="408.6" hidden="1" customHeight="1"/>
    <row r="869" ht="408.6" hidden="1" customHeight="1"/>
    <row r="870" ht="408.6" hidden="1" customHeight="1"/>
    <row r="871" ht="408.6" hidden="1" customHeight="1"/>
    <row r="872" ht="408.6" hidden="1" customHeight="1"/>
    <row r="873" ht="408.6" hidden="1" customHeight="1"/>
    <row r="874" ht="408.6" hidden="1" customHeight="1"/>
    <row r="875" ht="408.6" hidden="1" customHeight="1"/>
    <row r="876" ht="408.6" hidden="1" customHeight="1"/>
    <row r="877" ht="408.6" hidden="1" customHeight="1"/>
    <row r="878" ht="408.6" hidden="1" customHeight="1"/>
    <row r="879" ht="408.6" hidden="1" customHeight="1"/>
    <row r="880" ht="408.6" hidden="1" customHeight="1"/>
    <row r="881" ht="408.6" hidden="1" customHeight="1"/>
    <row r="882" ht="408.6" hidden="1" customHeight="1"/>
    <row r="883" ht="408.6" hidden="1" customHeight="1"/>
    <row r="884" ht="408.6" hidden="1" customHeight="1"/>
    <row r="885" ht="408.6" hidden="1" customHeight="1"/>
    <row r="886" ht="408.6" hidden="1" customHeight="1"/>
    <row r="887" ht="408.6" hidden="1" customHeight="1"/>
    <row r="888" ht="408.6" hidden="1" customHeight="1"/>
    <row r="889" ht="408.6" hidden="1" customHeight="1"/>
    <row r="890" ht="408.6" hidden="1" customHeight="1"/>
    <row r="891" ht="408.6" hidden="1" customHeight="1"/>
    <row r="892" ht="408.6" hidden="1" customHeight="1"/>
    <row r="893" ht="408.6" hidden="1" customHeight="1"/>
    <row r="894" ht="408.6" hidden="1" customHeight="1"/>
    <row r="895" ht="408.6" hidden="1" customHeight="1"/>
    <row r="896" ht="408.6" hidden="1" customHeight="1"/>
    <row r="897" ht="408.6" hidden="1" customHeight="1"/>
    <row r="898" ht="408.6" hidden="1" customHeight="1"/>
    <row r="899" ht="408.6" hidden="1" customHeight="1"/>
    <row r="900" ht="408.6" hidden="1" customHeight="1"/>
    <row r="901" ht="408.6" hidden="1" customHeight="1"/>
    <row r="902" ht="408.6" hidden="1" customHeight="1"/>
    <row r="903" ht="408.6" hidden="1" customHeight="1"/>
    <row r="904" ht="408.6" hidden="1" customHeight="1"/>
    <row r="905" ht="408.6" hidden="1" customHeight="1"/>
    <row r="906" ht="408.6" hidden="1" customHeight="1"/>
    <row r="907" ht="408.6" hidden="1" customHeight="1"/>
    <row r="908" ht="408.6" hidden="1" customHeight="1"/>
    <row r="909" ht="408.6" hidden="1" customHeight="1"/>
    <row r="910" ht="408.6" hidden="1" customHeight="1"/>
    <row r="911" ht="408.6" hidden="1" customHeight="1"/>
    <row r="912" ht="408.6" hidden="1" customHeight="1"/>
    <row r="913" ht="408.6" hidden="1" customHeight="1"/>
    <row r="914" ht="408.6" hidden="1" customHeight="1"/>
    <row r="915" ht="408.6" hidden="1" customHeight="1"/>
    <row r="916" ht="408.6" hidden="1" customHeight="1"/>
    <row r="917" ht="408.6" hidden="1" customHeight="1"/>
    <row r="918" ht="408.6" hidden="1" customHeight="1"/>
    <row r="919" ht="408.6" hidden="1" customHeight="1"/>
    <row r="920" ht="408.6" hidden="1" customHeight="1"/>
    <row r="921" ht="408.6" hidden="1" customHeight="1"/>
    <row r="922" ht="408.6" hidden="1" customHeight="1"/>
    <row r="923" ht="408.6" hidden="1" customHeight="1"/>
    <row r="924" ht="408.6" hidden="1" customHeight="1"/>
    <row r="925" ht="408.6" hidden="1" customHeight="1"/>
    <row r="926" ht="408.6" hidden="1" customHeight="1"/>
    <row r="927" ht="408.6" hidden="1" customHeight="1"/>
    <row r="928" ht="408.6" hidden="1" customHeight="1"/>
    <row r="929" ht="408.6" hidden="1" customHeight="1"/>
    <row r="930" ht="408.6" hidden="1" customHeight="1"/>
    <row r="931" ht="408.6" hidden="1" customHeight="1"/>
    <row r="932" ht="408.6" hidden="1" customHeight="1"/>
    <row r="933" ht="408.6" hidden="1" customHeight="1"/>
    <row r="934" ht="408.6" hidden="1" customHeight="1"/>
    <row r="935" ht="408.6" hidden="1" customHeight="1"/>
    <row r="936" ht="408.6" hidden="1" customHeight="1"/>
    <row r="937" ht="408.6" hidden="1" customHeight="1"/>
    <row r="938" ht="408.6" hidden="1" customHeight="1"/>
    <row r="939" ht="408.6" hidden="1" customHeight="1"/>
    <row r="940" ht="408.6" hidden="1" customHeight="1"/>
    <row r="941" ht="408.6" hidden="1" customHeight="1"/>
    <row r="942" ht="408.6" hidden="1" customHeight="1"/>
    <row r="943" ht="408.6" hidden="1" customHeight="1"/>
    <row r="944" ht="408.6" hidden="1" customHeight="1"/>
    <row r="945" ht="408.6" hidden="1" customHeight="1"/>
    <row r="946" ht="408.6" hidden="1" customHeight="1"/>
    <row r="947" ht="408.6" hidden="1" customHeight="1"/>
    <row r="948" ht="408.6" hidden="1" customHeight="1"/>
    <row r="949" ht="408.6" hidden="1" customHeight="1"/>
    <row r="950" ht="408.6" hidden="1" customHeight="1"/>
    <row r="951" ht="408.6" hidden="1" customHeight="1"/>
    <row r="952" ht="408.6" hidden="1" customHeight="1"/>
    <row r="953" ht="408.6" hidden="1" customHeight="1"/>
    <row r="954" ht="408.6" hidden="1" customHeight="1"/>
    <row r="955" ht="408.6" hidden="1" customHeight="1"/>
    <row r="956" ht="408.6" hidden="1" customHeight="1"/>
    <row r="957" ht="408.6" hidden="1" customHeight="1"/>
    <row r="958" ht="408.6" hidden="1" customHeight="1"/>
    <row r="959" ht="408.6" hidden="1" customHeight="1"/>
    <row r="960" ht="408.6" hidden="1" customHeight="1"/>
    <row r="961" ht="408.6" hidden="1" customHeight="1"/>
    <row r="962" ht="408.6" hidden="1" customHeight="1"/>
    <row r="963" ht="408.6" hidden="1" customHeight="1"/>
    <row r="964" ht="408.6" hidden="1" customHeight="1"/>
    <row r="965" ht="408.6" hidden="1" customHeight="1"/>
    <row r="966" ht="408.6" hidden="1" customHeight="1"/>
    <row r="967" ht="408.6" hidden="1" customHeight="1"/>
    <row r="968" ht="408.6" hidden="1" customHeight="1"/>
    <row r="969" ht="408.6" hidden="1" customHeight="1"/>
    <row r="970" ht="408.6" hidden="1" customHeight="1"/>
    <row r="971" ht="408.6" hidden="1" customHeight="1"/>
    <row r="972" ht="408.6" hidden="1" customHeight="1"/>
    <row r="973" ht="408.6" hidden="1" customHeight="1"/>
    <row r="974" ht="408.6" hidden="1" customHeight="1"/>
    <row r="975" ht="408.6" hidden="1" customHeight="1"/>
    <row r="976" ht="408.6" hidden="1" customHeight="1"/>
    <row r="977" ht="408.6" hidden="1" customHeight="1"/>
    <row r="978" ht="408.6" hidden="1" customHeight="1"/>
    <row r="979" ht="408.6" hidden="1" customHeight="1"/>
    <row r="980" ht="408.6" hidden="1" customHeight="1"/>
    <row r="981" ht="408.6" hidden="1" customHeight="1"/>
    <row r="982" ht="408.6" hidden="1" customHeight="1"/>
    <row r="983" ht="408.6" hidden="1" customHeight="1"/>
    <row r="984" ht="408.6" hidden="1" customHeight="1"/>
    <row r="985" ht="408.6" hidden="1" customHeight="1"/>
    <row r="986" ht="408.6" hidden="1" customHeight="1"/>
    <row r="987" ht="408.6" hidden="1" customHeight="1"/>
    <row r="988" ht="408.6" hidden="1" customHeight="1"/>
    <row r="989" ht="408.6" hidden="1" customHeight="1"/>
    <row r="990" ht="408.6" hidden="1" customHeight="1"/>
    <row r="991" ht="408.6" hidden="1" customHeight="1"/>
    <row r="992" ht="408.6" hidden="1" customHeight="1"/>
    <row r="993" ht="408.6" hidden="1" customHeight="1"/>
    <row r="994" ht="408.6" hidden="1" customHeight="1"/>
    <row r="995" ht="408.6" hidden="1" customHeight="1"/>
    <row r="996" ht="408.6" hidden="1" customHeight="1"/>
    <row r="997" ht="408.6" hidden="1" customHeight="1"/>
    <row r="998" ht="408.6" hidden="1" customHeight="1"/>
    <row r="999" ht="408.6" hidden="1" customHeight="1"/>
    <row r="1000" ht="408.6" hidden="1" customHeight="1"/>
    <row r="1001" ht="408.6" hidden="1" customHeight="1"/>
    <row r="1002" ht="408.6" hidden="1" customHeight="1"/>
    <row r="1003" ht="408.6" hidden="1" customHeight="1"/>
    <row r="1004" ht="408.6" hidden="1" customHeight="1"/>
    <row r="1005" ht="408.6" hidden="1" customHeight="1"/>
    <row r="1006" ht="408.6" hidden="1" customHeight="1"/>
    <row r="1007" ht="408.6" hidden="1" customHeight="1"/>
    <row r="1008" ht="408.6" hidden="1" customHeight="1"/>
    <row r="1009" ht="408.6" hidden="1" customHeight="1"/>
    <row r="1010" ht="408.6" hidden="1" customHeight="1"/>
    <row r="1011" ht="408.6" hidden="1" customHeight="1"/>
    <row r="1012" ht="408.6" hidden="1" customHeight="1"/>
    <row r="1013" ht="408.6" hidden="1" customHeight="1"/>
    <row r="1014" ht="408.6" hidden="1" customHeight="1"/>
    <row r="1015" ht="408.6" hidden="1" customHeight="1"/>
    <row r="1016" ht="408.6" hidden="1" customHeight="1"/>
    <row r="1017" ht="408.6" hidden="1" customHeight="1"/>
    <row r="1018" ht="408.6" hidden="1" customHeight="1"/>
    <row r="1019" ht="408.6" hidden="1" customHeight="1"/>
    <row r="1020" ht="408.6" hidden="1" customHeight="1"/>
    <row r="1021" ht="408.6" hidden="1" customHeight="1"/>
    <row r="1022" ht="408.6" hidden="1" customHeight="1"/>
    <row r="1023" ht="408.6" hidden="1" customHeight="1"/>
    <row r="1024" ht="408.6" hidden="1" customHeight="1"/>
    <row r="1025" ht="408.6" hidden="1" customHeight="1"/>
    <row r="1026" ht="408.6" hidden="1" customHeight="1"/>
    <row r="1027" ht="408.6" hidden="1" customHeight="1"/>
    <row r="1028" ht="408.6" hidden="1" customHeight="1"/>
    <row r="1029" ht="408.6" hidden="1" customHeight="1"/>
    <row r="1030" ht="408.6" hidden="1" customHeight="1"/>
    <row r="1031" ht="408.6" hidden="1" customHeight="1"/>
    <row r="1032" ht="408.6" hidden="1" customHeight="1"/>
    <row r="1033" ht="408.6" hidden="1" customHeight="1"/>
    <row r="1034" ht="408.6" hidden="1" customHeight="1"/>
    <row r="1035" ht="408.6" hidden="1" customHeight="1"/>
    <row r="1036" ht="408.6" hidden="1" customHeight="1"/>
    <row r="1037" ht="408.6" hidden="1" customHeight="1"/>
    <row r="1038" ht="408.6" hidden="1" customHeight="1"/>
    <row r="1039" ht="408.6" hidden="1" customHeight="1"/>
    <row r="1040" ht="408.6" hidden="1" customHeight="1"/>
    <row r="1041" ht="408.6" hidden="1" customHeight="1"/>
    <row r="1042" ht="408.6" hidden="1" customHeight="1"/>
    <row r="1043" ht="408.6" hidden="1" customHeight="1"/>
    <row r="1044" ht="408.6" hidden="1" customHeight="1"/>
    <row r="1045" ht="408.6" hidden="1" customHeight="1"/>
    <row r="1046" ht="408.6" hidden="1" customHeight="1"/>
    <row r="1047" ht="408.6" hidden="1" customHeight="1"/>
    <row r="1048" ht="408.6" hidden="1" customHeight="1"/>
    <row r="1049" ht="408.6" hidden="1" customHeight="1"/>
    <row r="1050" ht="408.6" hidden="1" customHeight="1"/>
    <row r="1051" ht="408.6" hidden="1" customHeight="1"/>
    <row r="1052" ht="408.6" hidden="1" customHeight="1"/>
    <row r="1053" ht="408.6" hidden="1" customHeight="1"/>
    <row r="1054" ht="408.6" hidden="1" customHeight="1"/>
    <row r="1055" ht="408.6" hidden="1" customHeight="1"/>
    <row r="1056" ht="408.6" hidden="1" customHeight="1"/>
    <row r="1057" ht="408.6" hidden="1" customHeight="1"/>
    <row r="1058" ht="408.6" hidden="1" customHeight="1"/>
    <row r="1059" ht="408.6" hidden="1" customHeight="1"/>
    <row r="1060" ht="408.6" hidden="1" customHeight="1"/>
    <row r="1061" ht="408.6" hidden="1" customHeight="1"/>
    <row r="1062" ht="408.6" hidden="1" customHeight="1"/>
    <row r="1063" ht="408.6" hidden="1" customHeight="1"/>
    <row r="1064" ht="408.6" hidden="1" customHeight="1"/>
    <row r="1065" ht="408.6" hidden="1" customHeight="1"/>
    <row r="1066" ht="408.6" hidden="1" customHeight="1"/>
    <row r="1067" ht="408.6" hidden="1" customHeight="1"/>
    <row r="1068" ht="408.6" hidden="1" customHeight="1"/>
    <row r="1069" ht="408.6" hidden="1" customHeight="1"/>
    <row r="1070" ht="408.6" hidden="1" customHeight="1"/>
    <row r="1071" ht="408.6" hidden="1" customHeight="1"/>
    <row r="1072" ht="408.6" hidden="1" customHeight="1"/>
    <row r="1073" ht="408.6" hidden="1" customHeight="1"/>
    <row r="1074" ht="408.6" hidden="1" customHeight="1"/>
    <row r="1075" ht="408.6" hidden="1" customHeight="1"/>
    <row r="1076" ht="408.6" hidden="1" customHeight="1"/>
    <row r="1077" ht="408.6" hidden="1" customHeight="1"/>
    <row r="1078" ht="408.6" hidden="1" customHeight="1"/>
    <row r="1079" ht="408.6" hidden="1" customHeight="1"/>
    <row r="1080" ht="408.6" hidden="1" customHeight="1"/>
    <row r="1081" ht="408.6" hidden="1" customHeight="1"/>
    <row r="1082" ht="408.6" hidden="1" customHeight="1"/>
    <row r="1083" ht="408.6" hidden="1" customHeight="1"/>
    <row r="1084" ht="408.6" hidden="1" customHeight="1"/>
    <row r="1085" ht="408.6" hidden="1" customHeight="1"/>
    <row r="1086" ht="408.6" hidden="1" customHeight="1"/>
    <row r="1087" ht="408.6" hidden="1" customHeight="1"/>
    <row r="1088" ht="408.6" hidden="1" customHeight="1"/>
    <row r="1089" ht="408.6" hidden="1" customHeight="1"/>
    <row r="1090" ht="408.6" hidden="1" customHeight="1"/>
    <row r="1091" ht="408.6" hidden="1" customHeight="1"/>
    <row r="1092" ht="408.6" hidden="1" customHeight="1"/>
    <row r="1093" ht="408.6" hidden="1" customHeight="1"/>
    <row r="1094" ht="408.6" hidden="1" customHeight="1"/>
    <row r="1095" ht="408.6" hidden="1" customHeight="1"/>
    <row r="1096" ht="408.6" hidden="1" customHeight="1"/>
    <row r="1097" ht="408.6" hidden="1" customHeight="1"/>
    <row r="1098" ht="408.6" hidden="1" customHeight="1"/>
    <row r="1099" ht="408.6" hidden="1" customHeight="1"/>
    <row r="1100" ht="408.6" hidden="1" customHeight="1"/>
    <row r="1101" ht="408.6" hidden="1" customHeight="1"/>
    <row r="1102" ht="408.6" hidden="1" customHeight="1"/>
    <row r="1103" ht="408.6" hidden="1" customHeight="1"/>
    <row r="1104" ht="408.6" hidden="1" customHeight="1"/>
    <row r="1105" ht="408.6" hidden="1" customHeight="1"/>
    <row r="1106" ht="408.6" hidden="1" customHeight="1"/>
    <row r="1107" ht="408.6" hidden="1" customHeight="1"/>
    <row r="1108" ht="408.6" hidden="1" customHeight="1"/>
    <row r="1109" ht="408.6" hidden="1" customHeight="1"/>
    <row r="1110" ht="408.6" hidden="1" customHeight="1"/>
    <row r="1111" ht="408.6" hidden="1" customHeight="1"/>
    <row r="1112" ht="408.6" hidden="1" customHeight="1"/>
    <row r="1113" ht="408.6" hidden="1" customHeight="1"/>
    <row r="1114" ht="408.6" hidden="1" customHeight="1"/>
    <row r="1115" ht="408.6" hidden="1" customHeight="1"/>
    <row r="1116" ht="408.6" hidden="1" customHeight="1"/>
    <row r="1117" ht="408.6" hidden="1" customHeight="1"/>
    <row r="1118" ht="408.6" hidden="1" customHeight="1"/>
    <row r="1119" ht="408.6" hidden="1" customHeight="1"/>
    <row r="1120" ht="408.6" hidden="1" customHeight="1"/>
    <row r="1121" ht="408.6" hidden="1" customHeight="1"/>
    <row r="1122" ht="408.6" hidden="1" customHeight="1"/>
    <row r="1123" ht="408.6" hidden="1" customHeight="1"/>
    <row r="1124" ht="408.6" hidden="1" customHeight="1"/>
    <row r="1125" ht="408.6" hidden="1" customHeight="1"/>
    <row r="1126" ht="408.6" hidden="1" customHeight="1"/>
    <row r="1127" ht="408.6" hidden="1" customHeight="1"/>
    <row r="1128" ht="408.6" hidden="1" customHeight="1"/>
    <row r="1129" ht="408.6" hidden="1" customHeight="1"/>
    <row r="1130" ht="408.6" hidden="1" customHeight="1"/>
    <row r="1131" ht="408.6" hidden="1" customHeight="1"/>
    <row r="1132" ht="408.6" hidden="1" customHeight="1"/>
    <row r="1133" ht="408.6" hidden="1" customHeight="1"/>
    <row r="1134" ht="408.6" hidden="1" customHeight="1"/>
    <row r="1135" ht="408.6" hidden="1" customHeight="1"/>
    <row r="1136" ht="408.6" hidden="1" customHeight="1"/>
    <row r="1137" ht="408.6" hidden="1" customHeight="1"/>
    <row r="1138" ht="408.6" hidden="1" customHeight="1"/>
    <row r="1139" ht="408.6" hidden="1" customHeight="1"/>
    <row r="1140" ht="408.6" hidden="1" customHeight="1"/>
    <row r="1141" ht="408.6" hidden="1" customHeight="1"/>
    <row r="1142" ht="408.6" hidden="1" customHeight="1"/>
    <row r="1143" ht="408.6" hidden="1" customHeight="1"/>
    <row r="1144" ht="408.6" hidden="1" customHeight="1"/>
    <row r="1145" ht="408.6" hidden="1" customHeight="1"/>
    <row r="1146" ht="408.6" hidden="1" customHeight="1"/>
    <row r="1147" ht="408.6" hidden="1" customHeight="1"/>
    <row r="1148" ht="408.6" hidden="1" customHeight="1"/>
    <row r="1149" ht="408.6" hidden="1" customHeight="1"/>
    <row r="1150" ht="408.6" hidden="1" customHeight="1"/>
    <row r="1151" ht="408.6" hidden="1" customHeight="1"/>
    <row r="1152" ht="408.6" hidden="1" customHeight="1"/>
    <row r="1153" ht="408.6" hidden="1" customHeight="1"/>
    <row r="1154" ht="408.6" hidden="1" customHeight="1"/>
    <row r="1155" ht="408.6" hidden="1" customHeight="1"/>
    <row r="1156" ht="408.6" hidden="1" customHeight="1"/>
    <row r="1157" ht="408.6" hidden="1" customHeight="1"/>
    <row r="1158" ht="408.6" hidden="1" customHeight="1"/>
    <row r="1159" ht="408.6" hidden="1" customHeight="1"/>
    <row r="1160" ht="408.6" hidden="1" customHeight="1"/>
    <row r="1161" ht="408.6" hidden="1" customHeight="1"/>
    <row r="1162" ht="408.6" hidden="1" customHeight="1"/>
    <row r="1163" ht="408.6" hidden="1" customHeight="1"/>
    <row r="1164" ht="408.6" hidden="1" customHeight="1"/>
    <row r="1165" ht="408.6" hidden="1" customHeight="1"/>
    <row r="1166" ht="408.6" hidden="1" customHeight="1"/>
    <row r="1167" ht="408.6" hidden="1" customHeight="1"/>
    <row r="1168" ht="408.6" hidden="1" customHeight="1"/>
    <row r="1169" ht="408.6" hidden="1" customHeight="1"/>
    <row r="1170" ht="408.6" hidden="1" customHeight="1"/>
    <row r="1171" ht="408.6" hidden="1" customHeight="1"/>
    <row r="1172" ht="408.6" hidden="1" customHeight="1"/>
    <row r="1173" ht="408.6" hidden="1" customHeight="1"/>
    <row r="1174" ht="408.6" hidden="1" customHeight="1"/>
    <row r="1175" ht="408.6" hidden="1" customHeight="1"/>
    <row r="1176" ht="408.6" hidden="1" customHeight="1"/>
    <row r="1177" ht="408.6" hidden="1" customHeight="1"/>
    <row r="1178" ht="408.6" hidden="1" customHeight="1"/>
    <row r="1179" ht="408.6" hidden="1" customHeight="1"/>
    <row r="1180" ht="408.6" hidden="1" customHeight="1"/>
    <row r="1181" ht="408.6" hidden="1" customHeight="1"/>
    <row r="1182" ht="408.6" hidden="1" customHeight="1"/>
    <row r="1183" ht="408.6" hidden="1" customHeight="1"/>
    <row r="1184" ht="408.6" hidden="1" customHeight="1"/>
    <row r="1185" ht="408.6" hidden="1" customHeight="1"/>
    <row r="1186" ht="408.6" hidden="1" customHeight="1"/>
    <row r="1187" ht="408.6" hidden="1" customHeight="1"/>
    <row r="1188" ht="408.6" hidden="1" customHeight="1"/>
    <row r="1189" ht="408.6" hidden="1" customHeight="1"/>
    <row r="1190" ht="408.6" hidden="1" customHeight="1"/>
    <row r="1191" ht="408.6" hidden="1" customHeight="1"/>
    <row r="1192" ht="408.6" hidden="1" customHeight="1"/>
    <row r="1193" ht="408.6" hidden="1" customHeight="1"/>
    <row r="1194" ht="408.6" hidden="1" customHeight="1"/>
    <row r="1195" ht="408.6" hidden="1" customHeight="1"/>
    <row r="1196" ht="408.6" hidden="1" customHeight="1"/>
    <row r="1197" ht="408.6" hidden="1" customHeight="1"/>
    <row r="1198" ht="408.6" hidden="1" customHeight="1"/>
    <row r="1199" ht="408.6" hidden="1" customHeight="1"/>
    <row r="1200" ht="408.6" hidden="1" customHeight="1"/>
    <row r="1201" ht="408.6" hidden="1" customHeight="1"/>
    <row r="1202" ht="408.6" hidden="1" customHeight="1"/>
    <row r="1203" ht="408.6" hidden="1" customHeight="1"/>
    <row r="1204" ht="408.6" hidden="1" customHeight="1"/>
    <row r="1205" ht="408.6" hidden="1" customHeight="1"/>
    <row r="1206" ht="408.6" hidden="1" customHeight="1"/>
    <row r="1207" ht="408.6" hidden="1" customHeight="1"/>
    <row r="1208" ht="408.6" hidden="1" customHeight="1"/>
    <row r="1209" ht="408.6" hidden="1" customHeight="1"/>
    <row r="1210" ht="408.6" hidden="1" customHeight="1"/>
    <row r="1211" ht="408.6" hidden="1" customHeight="1"/>
    <row r="1212" ht="408.6" hidden="1" customHeight="1"/>
    <row r="1213" ht="408.6" hidden="1" customHeight="1"/>
    <row r="1214" ht="408.6" hidden="1" customHeight="1"/>
    <row r="1215" ht="408.6" hidden="1" customHeight="1"/>
    <row r="1216" ht="408.6" hidden="1" customHeight="1"/>
    <row r="1217" ht="408.6" hidden="1" customHeight="1"/>
    <row r="1218" ht="408.6" hidden="1" customHeight="1"/>
    <row r="1219" ht="408.6" hidden="1" customHeight="1"/>
    <row r="1220" ht="408.6" hidden="1" customHeight="1"/>
    <row r="1221" ht="408.6" hidden="1" customHeight="1"/>
    <row r="1222" ht="408.6" hidden="1" customHeight="1"/>
    <row r="1223" ht="408.6" hidden="1" customHeight="1"/>
    <row r="1224" ht="408.6" hidden="1" customHeight="1"/>
    <row r="1225" ht="408.6" hidden="1" customHeight="1"/>
    <row r="1226" ht="408.6" hidden="1" customHeight="1"/>
    <row r="1227" ht="408.6" hidden="1" customHeight="1"/>
    <row r="1228" ht="408.6" hidden="1" customHeight="1"/>
    <row r="1229" ht="408.6" hidden="1" customHeight="1"/>
    <row r="1230" ht="408.6" hidden="1" customHeight="1"/>
    <row r="1231" ht="408.6" hidden="1" customHeight="1"/>
    <row r="1232" ht="408.6" hidden="1" customHeight="1"/>
    <row r="1233" ht="408.6" hidden="1" customHeight="1"/>
    <row r="1234" ht="408.6" hidden="1" customHeight="1"/>
    <row r="1235" ht="408.6" hidden="1" customHeight="1"/>
    <row r="1236" ht="408.6" hidden="1" customHeight="1"/>
    <row r="1237" ht="408.6" hidden="1" customHeight="1"/>
    <row r="1238" ht="408.6" hidden="1" customHeight="1"/>
    <row r="1239" ht="408.6" hidden="1" customHeight="1"/>
    <row r="1240" ht="408.6" hidden="1" customHeight="1"/>
    <row r="1241" ht="408.6" hidden="1" customHeight="1"/>
    <row r="1242" ht="408.6" hidden="1" customHeight="1"/>
    <row r="1243" ht="408.6" hidden="1" customHeight="1"/>
    <row r="1244" ht="408.6" hidden="1" customHeight="1"/>
    <row r="1245" ht="408.6" hidden="1" customHeight="1"/>
    <row r="1246" ht="408.6" hidden="1" customHeight="1"/>
    <row r="1247" ht="408.6" hidden="1" customHeight="1"/>
    <row r="1248" ht="408.6" hidden="1" customHeight="1"/>
    <row r="1249" ht="408.6" hidden="1" customHeight="1"/>
    <row r="1250" ht="408.6" hidden="1" customHeight="1"/>
    <row r="1251" ht="408.6" hidden="1" customHeight="1"/>
    <row r="1252" ht="408.6" hidden="1" customHeight="1"/>
    <row r="1253" ht="408.6" hidden="1" customHeight="1"/>
    <row r="1254" ht="408.6" hidden="1" customHeight="1"/>
    <row r="1255" ht="408.6" hidden="1" customHeight="1"/>
    <row r="1256" ht="408.6" hidden="1" customHeight="1"/>
    <row r="1257" ht="408.6" hidden="1" customHeight="1"/>
    <row r="1258" ht="408.6" hidden="1" customHeight="1"/>
    <row r="1259" ht="408.6" hidden="1" customHeight="1"/>
    <row r="1260" ht="408.6" hidden="1" customHeight="1"/>
    <row r="1261" ht="408.6" hidden="1" customHeight="1"/>
    <row r="1262" ht="408.6" hidden="1" customHeight="1"/>
    <row r="1263" ht="408.6" hidden="1" customHeight="1"/>
    <row r="1264" ht="408.6" hidden="1" customHeight="1"/>
    <row r="1265" ht="408.6" hidden="1" customHeight="1"/>
    <row r="1266" ht="408.6" hidden="1" customHeight="1"/>
    <row r="1267" ht="408.6" hidden="1" customHeight="1"/>
    <row r="1268" ht="408.6" hidden="1" customHeight="1"/>
    <row r="1269" ht="408.6" hidden="1" customHeight="1"/>
    <row r="1270" ht="408.6" hidden="1" customHeight="1"/>
    <row r="1271" ht="408.6" hidden="1" customHeight="1"/>
    <row r="1272" ht="408.6" hidden="1" customHeight="1"/>
    <row r="1273" ht="408.6" hidden="1" customHeight="1"/>
    <row r="1274" ht="408.6" hidden="1" customHeight="1"/>
    <row r="1275" ht="408.6" hidden="1" customHeight="1"/>
    <row r="1276" ht="408.6" hidden="1" customHeight="1"/>
    <row r="1277" ht="408.6" hidden="1" customHeight="1"/>
    <row r="1278" ht="408.6" hidden="1" customHeight="1"/>
    <row r="1279" ht="408.6" hidden="1" customHeight="1"/>
    <row r="1280" ht="408.6" hidden="1" customHeight="1"/>
    <row r="1281" ht="408.6" hidden="1" customHeight="1"/>
    <row r="1282" ht="408.6" hidden="1" customHeight="1"/>
    <row r="1283" ht="408.6" hidden="1" customHeight="1"/>
    <row r="1284" ht="408.6" hidden="1" customHeight="1"/>
    <row r="1285" ht="408.6" hidden="1" customHeight="1"/>
    <row r="1286" ht="408.6" hidden="1" customHeight="1"/>
    <row r="1287" ht="408.6" hidden="1" customHeight="1"/>
    <row r="1288" ht="408.6" hidden="1" customHeight="1"/>
    <row r="1289" ht="408.6" hidden="1" customHeight="1"/>
    <row r="1290" ht="408.6" hidden="1" customHeight="1"/>
    <row r="1291" ht="408.6" hidden="1" customHeight="1"/>
    <row r="1292" ht="408.6" hidden="1" customHeight="1"/>
    <row r="1293" ht="408.6" hidden="1" customHeight="1"/>
    <row r="1294" ht="408.6" hidden="1" customHeight="1"/>
    <row r="1295" ht="408.6" hidden="1" customHeight="1"/>
    <row r="1296" ht="408.6" hidden="1" customHeight="1"/>
    <row r="1297" ht="408.6" hidden="1" customHeight="1"/>
    <row r="1298" ht="408.6" hidden="1" customHeight="1"/>
    <row r="1299" ht="408.6" hidden="1" customHeight="1"/>
    <row r="1300" ht="408.6" hidden="1" customHeight="1"/>
    <row r="1301" ht="408.6" hidden="1" customHeight="1"/>
    <row r="1302" ht="408.6" hidden="1" customHeight="1"/>
    <row r="1303" ht="408.6" hidden="1" customHeight="1"/>
    <row r="1304" ht="408.6" hidden="1" customHeight="1"/>
    <row r="1305" ht="408.6" hidden="1" customHeight="1"/>
    <row r="1306" ht="408.6" hidden="1" customHeight="1"/>
    <row r="1307" ht="408.6" hidden="1" customHeight="1"/>
    <row r="1308" ht="408.6" hidden="1" customHeight="1"/>
    <row r="1309" ht="408.6" hidden="1" customHeight="1"/>
    <row r="1310" ht="408.6" hidden="1" customHeight="1"/>
    <row r="1311" ht="408.6" hidden="1" customHeight="1"/>
    <row r="1312" ht="408.6" hidden="1" customHeight="1"/>
    <row r="1313" ht="408.6" hidden="1" customHeight="1"/>
    <row r="1314" ht="408.6" hidden="1" customHeight="1"/>
    <row r="1315" ht="408.6" hidden="1" customHeight="1"/>
    <row r="1316" ht="408.6" hidden="1" customHeight="1"/>
    <row r="1317" ht="408.6" hidden="1" customHeight="1"/>
    <row r="1318" ht="408.6" hidden="1" customHeight="1"/>
    <row r="1319" ht="408.6" hidden="1" customHeight="1"/>
    <row r="1320" ht="408.6" hidden="1" customHeight="1"/>
    <row r="1321" ht="408.6" hidden="1" customHeight="1"/>
    <row r="1322" ht="408.6" hidden="1" customHeight="1"/>
    <row r="1323" ht="408.6" hidden="1" customHeight="1"/>
    <row r="1324" ht="408.6" hidden="1" customHeight="1"/>
    <row r="1325" ht="408.6" hidden="1" customHeight="1"/>
    <row r="1326" ht="408.6" hidden="1" customHeight="1"/>
    <row r="1327" ht="408.6" hidden="1" customHeight="1"/>
    <row r="1328" ht="408.6" hidden="1" customHeight="1"/>
    <row r="1329" ht="408.6" hidden="1" customHeight="1"/>
    <row r="1330" ht="408.6" hidden="1" customHeight="1"/>
    <row r="1331" ht="408.6" hidden="1" customHeight="1"/>
    <row r="1332" ht="408.6" hidden="1" customHeight="1"/>
    <row r="1333" ht="408.6" hidden="1" customHeight="1"/>
    <row r="1334" ht="408.6" hidden="1" customHeight="1"/>
    <row r="1335" ht="408.6" hidden="1" customHeight="1"/>
    <row r="1336" ht="408.6" hidden="1" customHeight="1"/>
    <row r="1337" ht="408.6" hidden="1" customHeight="1"/>
    <row r="1338" ht="408.6" hidden="1" customHeight="1"/>
    <row r="1339" ht="408.6" hidden="1" customHeight="1"/>
    <row r="1340" ht="408.6" hidden="1" customHeight="1"/>
    <row r="1341" ht="408.6" hidden="1" customHeight="1"/>
    <row r="1342" ht="408.6" hidden="1" customHeight="1"/>
    <row r="1343" ht="408.6" hidden="1" customHeight="1"/>
    <row r="1344" ht="408.6" hidden="1" customHeight="1"/>
    <row r="1345" ht="408.6" hidden="1" customHeight="1"/>
    <row r="1346" ht="408.6" hidden="1" customHeight="1"/>
    <row r="1347" ht="408.6" hidden="1" customHeight="1"/>
    <row r="1348" ht="408.6" hidden="1" customHeight="1"/>
    <row r="1349" ht="408.6" hidden="1" customHeight="1"/>
    <row r="1350" ht="408.6" hidden="1" customHeight="1"/>
    <row r="1351" ht="408.6" hidden="1" customHeight="1"/>
    <row r="1352" ht="408.6" hidden="1" customHeight="1"/>
    <row r="1353" ht="408.6" hidden="1" customHeight="1"/>
    <row r="1354" ht="408.6" hidden="1" customHeight="1"/>
    <row r="1355" ht="408.6" hidden="1" customHeight="1"/>
    <row r="1356" ht="408.6" hidden="1" customHeight="1"/>
    <row r="1357" ht="408.6" hidden="1" customHeight="1"/>
    <row r="1358" ht="408.6" hidden="1" customHeight="1"/>
    <row r="1359" ht="408.6" hidden="1" customHeight="1"/>
    <row r="1360" ht="408.6" hidden="1" customHeight="1"/>
    <row r="1361" ht="408.6" hidden="1" customHeight="1"/>
    <row r="1362" ht="408.6" hidden="1" customHeight="1"/>
    <row r="1363" ht="408.6" hidden="1" customHeight="1"/>
    <row r="1364" ht="408.6" hidden="1" customHeight="1"/>
    <row r="1365" ht="408.6" hidden="1" customHeight="1"/>
    <row r="1366" ht="408.6" hidden="1" customHeight="1"/>
    <row r="1367" ht="408.6" hidden="1" customHeight="1"/>
    <row r="1368" ht="408.6" hidden="1" customHeight="1"/>
    <row r="1369" ht="408.6" hidden="1" customHeight="1"/>
    <row r="1370" ht="408.6" hidden="1" customHeight="1"/>
    <row r="1371" ht="408.6" hidden="1" customHeight="1"/>
    <row r="1372" ht="408.6" hidden="1" customHeight="1"/>
    <row r="1373" ht="408.6" hidden="1" customHeight="1"/>
    <row r="1374" ht="408.6" hidden="1" customHeight="1"/>
    <row r="1375" ht="408.6" hidden="1" customHeight="1"/>
    <row r="1376" ht="408.6" hidden="1" customHeight="1"/>
    <row r="1377" ht="408.6" hidden="1" customHeight="1"/>
    <row r="1378" ht="408.6" hidden="1" customHeight="1"/>
    <row r="1379" ht="408.6" hidden="1" customHeight="1"/>
    <row r="1380" ht="408.6" hidden="1" customHeight="1"/>
    <row r="1381" ht="408.6" hidden="1" customHeight="1"/>
    <row r="1382" ht="408.6" hidden="1" customHeight="1"/>
    <row r="1383" ht="408.6" hidden="1" customHeight="1"/>
    <row r="1384" ht="408.6" hidden="1" customHeight="1"/>
    <row r="1385" ht="408.6" hidden="1" customHeight="1"/>
    <row r="1386" ht="408.6" hidden="1" customHeight="1"/>
    <row r="1387" ht="408.6" hidden="1" customHeight="1"/>
    <row r="1388" ht="408.6" hidden="1" customHeight="1"/>
    <row r="1389" ht="408.6" hidden="1" customHeight="1"/>
    <row r="1390" ht="408.6" hidden="1" customHeight="1"/>
    <row r="1391" ht="408.6" hidden="1" customHeight="1"/>
    <row r="1392" ht="408.6" hidden="1" customHeight="1"/>
    <row r="1393" ht="408.6" hidden="1" customHeight="1"/>
    <row r="1394" ht="408.6" hidden="1" customHeight="1"/>
    <row r="1395" ht="408.6" hidden="1" customHeight="1"/>
    <row r="1396" ht="408.6" hidden="1" customHeight="1"/>
    <row r="1397" ht="408.6" hidden="1" customHeight="1"/>
    <row r="1398" ht="408.6" hidden="1" customHeight="1"/>
    <row r="1399" ht="408.6" hidden="1" customHeight="1"/>
    <row r="1400" ht="408.6" hidden="1" customHeight="1"/>
    <row r="1401" ht="408.6" hidden="1" customHeight="1"/>
    <row r="1402" ht="408.6" hidden="1" customHeight="1"/>
    <row r="1403" ht="408.6" hidden="1" customHeight="1"/>
    <row r="1404" ht="408.6" hidden="1" customHeight="1"/>
    <row r="1405" ht="408.6" hidden="1" customHeight="1"/>
    <row r="1406" ht="408.6" hidden="1" customHeight="1"/>
    <row r="1407" ht="408.6" hidden="1" customHeight="1"/>
    <row r="1408" ht="408.6" hidden="1" customHeight="1"/>
    <row r="1409" ht="408.6" hidden="1" customHeight="1"/>
    <row r="1410" ht="408.6" hidden="1" customHeight="1"/>
    <row r="1411" ht="408.6" hidden="1" customHeight="1"/>
    <row r="1412" ht="408.6" hidden="1" customHeight="1"/>
    <row r="1413" ht="408.6" hidden="1" customHeight="1"/>
    <row r="1414" ht="408.6" hidden="1" customHeight="1"/>
    <row r="1415" ht="408.6" hidden="1" customHeight="1"/>
    <row r="1416" ht="408.6" hidden="1" customHeight="1"/>
    <row r="1417" ht="408.6" hidden="1" customHeight="1"/>
    <row r="1418" ht="408.6" hidden="1" customHeight="1"/>
    <row r="1419" ht="408.6" hidden="1" customHeight="1"/>
    <row r="1420" ht="408.6" hidden="1" customHeight="1"/>
    <row r="1421" ht="408.6" hidden="1" customHeight="1"/>
    <row r="1422" ht="408.6" hidden="1" customHeight="1"/>
    <row r="1423" ht="408.6" hidden="1" customHeight="1"/>
    <row r="1424" ht="408.6" hidden="1" customHeight="1"/>
    <row r="1425" ht="408.6" hidden="1" customHeight="1"/>
    <row r="1426" ht="408.6" hidden="1" customHeight="1"/>
    <row r="1427" ht="408.6" hidden="1" customHeight="1"/>
    <row r="1428" ht="408.6" hidden="1" customHeight="1"/>
    <row r="1429" ht="408.6" hidden="1" customHeight="1"/>
    <row r="1430" ht="408.6" hidden="1" customHeight="1"/>
    <row r="1431" ht="408.6" hidden="1" customHeight="1"/>
    <row r="1432" ht="408.6" hidden="1" customHeight="1"/>
    <row r="1433" ht="408.6" hidden="1" customHeight="1"/>
    <row r="1434" ht="408.6" hidden="1" customHeight="1"/>
    <row r="1435" ht="408.6" hidden="1" customHeight="1"/>
    <row r="1436" ht="408.6" hidden="1" customHeight="1"/>
    <row r="1437" ht="408.6" hidden="1" customHeight="1"/>
    <row r="1438" ht="408.6" hidden="1" customHeight="1"/>
    <row r="1439" ht="408.6" hidden="1" customHeight="1"/>
    <row r="1440" ht="408.6" hidden="1" customHeight="1"/>
    <row r="1441" ht="408.6" hidden="1" customHeight="1"/>
    <row r="1442" ht="408.6" hidden="1" customHeight="1"/>
    <row r="1443" ht="408.6" hidden="1" customHeight="1"/>
    <row r="1444" ht="408.6" hidden="1" customHeight="1"/>
    <row r="1445" ht="408.6" hidden="1" customHeight="1"/>
    <row r="1446" ht="408.6" hidden="1" customHeight="1"/>
    <row r="1447" ht="408.6" hidden="1" customHeight="1"/>
    <row r="1448" ht="408.6" hidden="1" customHeight="1"/>
    <row r="1449" ht="408.6" hidden="1" customHeight="1"/>
    <row r="1450" ht="408.6" hidden="1" customHeight="1"/>
    <row r="1451" ht="408.6" hidden="1" customHeight="1"/>
    <row r="1452" ht="408.6" hidden="1" customHeight="1"/>
    <row r="1453" ht="408.6" hidden="1" customHeight="1"/>
    <row r="1454" ht="408.6" hidden="1" customHeight="1"/>
    <row r="1455" ht="408.6" hidden="1" customHeight="1"/>
    <row r="1456" ht="408.6" hidden="1" customHeight="1"/>
    <row r="1457" ht="408.6" hidden="1" customHeight="1"/>
    <row r="1458" ht="408.6" hidden="1" customHeight="1"/>
    <row r="1459" ht="408.6" hidden="1" customHeight="1"/>
    <row r="1460" ht="408.6" hidden="1" customHeight="1"/>
    <row r="1461" ht="408.6" hidden="1" customHeight="1"/>
    <row r="1462" ht="408.6" hidden="1" customHeight="1"/>
    <row r="1463" ht="408.6" hidden="1" customHeight="1"/>
    <row r="1464" ht="408.6" hidden="1" customHeight="1"/>
    <row r="1465" ht="408.6" hidden="1" customHeight="1"/>
    <row r="1466" ht="408.6" hidden="1" customHeight="1"/>
    <row r="1467" ht="408.6" hidden="1" customHeight="1"/>
    <row r="1468" ht="408.6" hidden="1" customHeight="1"/>
    <row r="1469" ht="408.6" hidden="1" customHeight="1"/>
    <row r="1470" ht="408.6" hidden="1" customHeight="1"/>
    <row r="1471" ht="408.6" hidden="1" customHeight="1"/>
    <row r="1472" ht="408.6" hidden="1" customHeight="1"/>
    <row r="1473" ht="408.6" hidden="1" customHeight="1"/>
    <row r="1474" ht="408.6" hidden="1" customHeight="1"/>
    <row r="1475" ht="408.6" hidden="1" customHeight="1"/>
    <row r="1476" ht="408.6" hidden="1" customHeight="1"/>
    <row r="1477" ht="408.6" hidden="1" customHeight="1"/>
    <row r="1478" ht="408.6" hidden="1" customHeight="1"/>
    <row r="1479" ht="408.6" hidden="1" customHeight="1"/>
    <row r="1480" ht="408.6" hidden="1" customHeight="1"/>
    <row r="1481" ht="408.6" hidden="1" customHeight="1"/>
    <row r="1482" ht="408.6" hidden="1" customHeight="1"/>
    <row r="1483" ht="408.6" hidden="1" customHeight="1"/>
    <row r="1484" ht="408.6" hidden="1" customHeight="1"/>
    <row r="1485" ht="408.6" hidden="1" customHeight="1"/>
    <row r="1486" ht="408.6" hidden="1" customHeight="1"/>
    <row r="1487" ht="408.6" hidden="1" customHeight="1"/>
    <row r="1488" ht="408.6" hidden="1" customHeight="1"/>
    <row r="1489" ht="408.6" hidden="1" customHeight="1"/>
    <row r="1490" ht="408.6" hidden="1" customHeight="1"/>
    <row r="1491" ht="408.6" hidden="1" customHeight="1"/>
    <row r="1492" ht="408.6" hidden="1" customHeight="1"/>
    <row r="1493" ht="408.6" hidden="1" customHeight="1"/>
    <row r="1494" ht="408.6" hidden="1" customHeight="1"/>
    <row r="1495" ht="408.6" hidden="1" customHeight="1"/>
    <row r="1496" ht="408.6" hidden="1" customHeight="1"/>
    <row r="1497" ht="408.6" hidden="1" customHeight="1"/>
    <row r="1498" ht="408.6" hidden="1" customHeight="1"/>
    <row r="1499" ht="408.6" hidden="1" customHeight="1"/>
    <row r="1500" ht="408.6" hidden="1" customHeight="1"/>
    <row r="1501" ht="408.6" hidden="1" customHeight="1"/>
    <row r="1502" ht="408.6" hidden="1" customHeight="1"/>
    <row r="1503" ht="408.6" hidden="1" customHeight="1"/>
    <row r="1504" ht="408.6" hidden="1" customHeight="1"/>
    <row r="1505" ht="408.6" hidden="1" customHeight="1"/>
    <row r="1506" ht="408.6" hidden="1" customHeight="1"/>
    <row r="1507" ht="408.6" hidden="1" customHeight="1"/>
    <row r="1508" ht="408.6" hidden="1" customHeight="1"/>
    <row r="1509" ht="408.6" hidden="1" customHeight="1"/>
    <row r="1510" ht="408.6" hidden="1" customHeight="1"/>
    <row r="1511" ht="408.6" hidden="1" customHeight="1"/>
    <row r="1512" ht="408.6" hidden="1" customHeight="1"/>
    <row r="1513" ht="408.6" hidden="1" customHeight="1"/>
    <row r="1514" ht="408.6" hidden="1" customHeight="1"/>
    <row r="1515" ht="408.6" hidden="1" customHeight="1"/>
    <row r="1516" ht="408.6" hidden="1" customHeight="1"/>
    <row r="1517" ht="408.6" hidden="1" customHeight="1"/>
    <row r="1518" ht="408.6" hidden="1" customHeight="1"/>
    <row r="1519" ht="408.6" hidden="1" customHeight="1"/>
    <row r="1520" ht="408.6" hidden="1" customHeight="1"/>
    <row r="1521" ht="408.6" hidden="1" customHeight="1"/>
    <row r="1522" ht="408.6" hidden="1" customHeight="1"/>
    <row r="1523" ht="408.6" hidden="1" customHeight="1"/>
    <row r="1524" ht="408.6" hidden="1" customHeight="1"/>
    <row r="1525" ht="408.6" hidden="1" customHeight="1"/>
    <row r="1526" ht="408.6" hidden="1" customHeight="1"/>
    <row r="1527" ht="408.6" hidden="1" customHeight="1"/>
    <row r="1528" ht="408.6" hidden="1" customHeight="1"/>
    <row r="1529" ht="408.6" hidden="1" customHeight="1"/>
    <row r="1530" ht="408.6" hidden="1" customHeight="1"/>
    <row r="1531" ht="408.6" hidden="1" customHeight="1"/>
    <row r="1532" ht="408.6" hidden="1" customHeight="1"/>
    <row r="1533" ht="408.6" hidden="1" customHeight="1"/>
    <row r="1534" ht="408.6" hidden="1" customHeight="1"/>
    <row r="1535" ht="408.6" hidden="1" customHeight="1"/>
    <row r="1536" ht="408.6" hidden="1" customHeight="1"/>
    <row r="1537" ht="408.6" hidden="1" customHeight="1"/>
    <row r="1538" ht="408.6" hidden="1" customHeight="1"/>
    <row r="1539" ht="408.6" hidden="1" customHeight="1"/>
    <row r="1540" ht="408.6" hidden="1" customHeight="1"/>
    <row r="1541" ht="408.6" hidden="1" customHeight="1"/>
    <row r="1542" ht="408.6" hidden="1" customHeight="1"/>
    <row r="1543" ht="408.6" hidden="1" customHeight="1"/>
    <row r="1544" ht="408.6" hidden="1" customHeight="1"/>
    <row r="1545" ht="408.6" hidden="1" customHeight="1"/>
    <row r="1546" ht="408.6" hidden="1" customHeight="1"/>
    <row r="1547" ht="408.6" hidden="1" customHeight="1"/>
    <row r="1548" ht="408.6" hidden="1" customHeight="1"/>
    <row r="1549" ht="408.6" hidden="1" customHeight="1"/>
    <row r="1550" ht="408.6" hidden="1" customHeight="1"/>
    <row r="1551" ht="408.6" hidden="1" customHeight="1"/>
    <row r="1552" ht="408.6" hidden="1" customHeight="1"/>
    <row r="1553" ht="408.6" hidden="1" customHeight="1"/>
    <row r="1554" ht="408.6" hidden="1" customHeight="1"/>
    <row r="1555" ht="408.6" hidden="1" customHeight="1"/>
    <row r="1556" ht="408.6" hidden="1" customHeight="1"/>
    <row r="1557" ht="408.6" hidden="1" customHeight="1"/>
    <row r="1558" ht="408.6" hidden="1" customHeight="1"/>
    <row r="1559" ht="408.6" hidden="1" customHeight="1"/>
    <row r="1560" ht="408.6" hidden="1" customHeight="1"/>
    <row r="1561" ht="408.6" hidden="1" customHeight="1"/>
    <row r="1562" ht="408.6" hidden="1" customHeight="1"/>
    <row r="1563" ht="408.6" hidden="1" customHeight="1"/>
    <row r="1564" ht="408.6" hidden="1" customHeight="1"/>
    <row r="1565" ht="408.6" hidden="1" customHeight="1"/>
    <row r="1566" ht="408.6" hidden="1" customHeight="1"/>
    <row r="1567" ht="408.6" hidden="1" customHeight="1"/>
    <row r="1568" ht="408.6" hidden="1" customHeight="1"/>
    <row r="1569" ht="408.6" hidden="1" customHeight="1"/>
    <row r="1570" ht="408.6" hidden="1" customHeight="1"/>
  </sheetData>
  <mergeCells count="8">
    <mergeCell ref="C1:P2"/>
    <mergeCell ref="H22:N31"/>
    <mergeCell ref="M8:N8"/>
    <mergeCell ref="M11:N11"/>
    <mergeCell ref="H14:I14"/>
    <mergeCell ref="H8:I8"/>
    <mergeCell ref="H11:I11"/>
    <mergeCell ref="H17:N19"/>
  </mergeCells>
  <dataValidations count="3">
    <dataValidation type="list" allowBlank="1" showInputMessage="1" showErrorMessage="1" error="Sorry! This is beyind the scope of the Rule 1" promptTitle="Rule category L-1" prompt="Enter the Category (Level 1) " sqref="H11" xr:uid="{695DA7D0-931F-42F7-968F-A73C9227F3FF}">
      <formula1>"Prospectus, Regulation"</formula1>
    </dataValidation>
    <dataValidation type="list" allowBlank="1" showInputMessage="1" showErrorMessage="1" sqref="H14" xr:uid="{1B252D3C-5304-41CF-8022-F169E2E81D29}">
      <formula1>"Fund Exposure, Diversification Limits, Concentration Limits, Eligible Assets"</formula1>
    </dataValidation>
    <dataValidation type="list" allowBlank="1" showInputMessage="1" showErrorMessage="1" sqref="H8" xr:uid="{3E9EBDC4-30D3-4BA0-AA8A-BCC432471E45}">
      <formula1>"Easy, Medium, Difficult"</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XEW209"/>
  <sheetViews>
    <sheetView showGridLines="0" zoomScale="55" zoomScaleNormal="55" workbookViewId="0">
      <pane ySplit="1" topLeftCell="A2" activePane="bottomLeft" state="frozen"/>
      <selection pane="bottomLeft"/>
    </sheetView>
  </sheetViews>
  <sheetFormatPr defaultColWidth="0" defaultRowHeight="14.4"/>
  <cols>
    <col min="1" max="1" width="18.88671875" style="1" bestFit="1" customWidth="1"/>
    <col min="2" max="2" width="10.21875" style="1" bestFit="1" customWidth="1"/>
    <col min="3" max="4" width="25" style="1" bestFit="1" customWidth="1"/>
    <col min="5" max="5" width="57.109375" style="1" bestFit="1" customWidth="1"/>
    <col min="6" max="6" width="146.5546875" style="1" bestFit="1" customWidth="1"/>
    <col min="7" max="7" width="33.44140625" style="3" bestFit="1" customWidth="1"/>
    <col min="8" max="8" width="10.6640625" style="3" bestFit="1" customWidth="1"/>
    <col min="9" max="11" width="12.44140625" style="1" customWidth="1"/>
    <col min="12" max="16363" width="12.44140625" style="1" hidden="1"/>
    <col min="16364" max="16365" width="22.6640625" style="1" hidden="1"/>
    <col min="16366" max="16366" width="33.77734375" style="1" hidden="1"/>
    <col min="16367" max="16367" width="27.77734375" style="1" hidden="1"/>
    <col min="16368" max="16368" width="12.44140625" style="1" hidden="1"/>
    <col min="16369" max="16369" width="19.5546875" style="1" hidden="1"/>
    <col min="16370" max="16370" width="18.109375" style="1" hidden="1"/>
    <col min="16371" max="16371" width="64" style="1" hidden="1"/>
    <col min="16372" max="16372" width="12.44140625" style="1" hidden="1"/>
    <col min="16373" max="16373" width="18.5546875" style="1" hidden="1"/>
    <col min="16374" max="16374" width="12.44140625" style="1" hidden="1"/>
    <col min="16375" max="16377" width="0" style="1" hidden="1"/>
    <col min="16378" max="16384" width="12.44140625" style="1" hidden="1"/>
  </cols>
  <sheetData>
    <row r="1" spans="1:26 16358:16377" ht="54.6" customHeight="1">
      <c r="XEO1" s="35" t="s">
        <v>301</v>
      </c>
      <c r="XEP1" s="35" t="s">
        <v>302</v>
      </c>
    </row>
    <row r="2" spans="1:26 16358:16377">
      <c r="A2" s="27" t="s">
        <v>0</v>
      </c>
      <c r="B2" s="27" t="s">
        <v>1</v>
      </c>
      <c r="C2" s="27" t="s">
        <v>2</v>
      </c>
      <c r="D2" s="27" t="s">
        <v>3</v>
      </c>
      <c r="E2" s="27" t="s">
        <v>4</v>
      </c>
      <c r="F2" s="27" t="s">
        <v>5</v>
      </c>
      <c r="G2" s="27" t="s">
        <v>6</v>
      </c>
      <c r="H2" s="28" t="s">
        <v>7</v>
      </c>
      <c r="I2" s="175" t="s">
        <v>8</v>
      </c>
      <c r="XEO2" s="35" t="str" cm="1">
        <f t="array" ref="XEO2:XEO5">IF(_xlfn.UNIQUE(Table2[Rule Category (Level 1)])&lt;&gt;0,_xlfn.UNIQUE(Table2[Rule Category (Level 1)]),"")</f>
        <v>Prospectus</v>
      </c>
      <c r="XEP2" s="35" t="str" cm="1">
        <f t="array" ref="XEP2:XEP6">IF(_xlfn.UNIQUE(Table2[Rule Category (Level 2)])&lt;&gt;0,_xlfn.UNIQUE(Table2[Rule Category (Level 2)]),"")</f>
        <v>Fund Exposure</v>
      </c>
      <c r="XER2" s="1" t="str">
        <f>IF(XEO2="","",XEO2)</f>
        <v>Prospectus</v>
      </c>
      <c r="XES2" s="1" t="str">
        <f>IF(XEP2="","",XEP2)</f>
        <v>Fund Exposure</v>
      </c>
    </row>
    <row r="3" spans="1:26 16358:16377" ht="65.400000000000006" customHeight="1">
      <c r="A3" s="29" t="s">
        <v>9</v>
      </c>
      <c r="B3" s="30">
        <v>1</v>
      </c>
      <c r="C3" s="30" t="s">
        <v>10</v>
      </c>
      <c r="D3" s="30" t="s">
        <v>11</v>
      </c>
      <c r="E3" s="30" t="s">
        <v>12</v>
      </c>
      <c r="F3" s="31" t="s">
        <v>13</v>
      </c>
      <c r="G3" s="30"/>
      <c r="H3" s="30" t="s">
        <v>14</v>
      </c>
      <c r="I3" s="176" t="s">
        <v>15</v>
      </c>
      <c r="XEI3" s="1" cm="1">
        <f t="array" ref="XEI3:XEI9">IF(_xlfn.UNIQUE(B3:B1048576)&lt;&gt;0,_xlfn.UNIQUE(B3:B1048576),"")</f>
        <v>1</v>
      </c>
      <c r="XEO3" s="35" t="str">
        <v>Regulation</v>
      </c>
      <c r="XEP3" s="35" t="str">
        <v>Diversification Limits</v>
      </c>
      <c r="XER3" s="1" t="str">
        <f t="shared" ref="XER3:XER25" si="0">IF(XEO3="","",XEO3)</f>
        <v>Regulation</v>
      </c>
      <c r="XES3" s="1" t="str">
        <f t="shared" ref="XES3:XES25" si="1">IF(XEP3="","",XEP3)</f>
        <v>Diversification Limits</v>
      </c>
      <c r="XET3" s="1">
        <f>COUNTA(XER2:XER25) - COUNTIF(XER2:XER25, "")</f>
        <v>2</v>
      </c>
      <c r="XEU3" s="1" t="e" cm="1" vm="1">
        <f t="array" aca="1" ref="XEU3" ca="1">IF(XER2:XER25&lt;&gt;"",COUNTA(XER2:XER25), )</f>
        <v>#VALUE!</v>
      </c>
      <c r="XEW3" s="1">
        <f>COUNTA(XER2:XER25)</f>
        <v>24</v>
      </c>
    </row>
    <row r="4" spans="1:26 16358:16377" ht="65.400000000000006" customHeight="1">
      <c r="A4" s="29" t="s">
        <v>9</v>
      </c>
      <c r="B4" s="30">
        <v>2</v>
      </c>
      <c r="C4" s="30" t="s">
        <v>10</v>
      </c>
      <c r="D4" s="30" t="s">
        <v>16</v>
      </c>
      <c r="E4" s="30" t="s">
        <v>17</v>
      </c>
      <c r="F4" s="31" t="s">
        <v>18</v>
      </c>
      <c r="G4" s="30"/>
      <c r="H4" s="32">
        <v>0.1</v>
      </c>
      <c r="I4" s="177">
        <v>0.1</v>
      </c>
      <c r="XEI4" s="1">
        <v>2</v>
      </c>
      <c r="XEL4" s="59" t="s">
        <v>2</v>
      </c>
      <c r="XEM4" s="59" t="s">
        <v>3</v>
      </c>
      <c r="XEO4" s="35" t="str">
        <v/>
      </c>
      <c r="XEP4" s="35" t="str">
        <v>Concentration Limits</v>
      </c>
      <c r="XER4" s="1" t="str">
        <f t="shared" si="0"/>
        <v/>
      </c>
      <c r="XES4" s="1" t="str">
        <f t="shared" si="1"/>
        <v>Concentration Limits</v>
      </c>
      <c r="XEU4" s="1" t="s">
        <v>10</v>
      </c>
      <c r="XEW4" s="1">
        <f>COUNTIF(XER2:XER25, "")</f>
        <v>22</v>
      </c>
    </row>
    <row r="5" spans="1:26 16358:16377" ht="65.400000000000006" customHeight="1">
      <c r="A5" s="29" t="s">
        <v>9</v>
      </c>
      <c r="B5" s="30">
        <v>3</v>
      </c>
      <c r="C5" s="30" t="s">
        <v>19</v>
      </c>
      <c r="D5" s="30" t="s">
        <v>20</v>
      </c>
      <c r="E5" s="31" t="s">
        <v>21</v>
      </c>
      <c r="F5" s="31" t="s">
        <v>22</v>
      </c>
      <c r="G5" s="30"/>
      <c r="H5" s="32">
        <v>0.1</v>
      </c>
      <c r="I5" s="177">
        <v>0.1</v>
      </c>
      <c r="Z5" s="1" t="s">
        <v>298</v>
      </c>
      <c r="XEG5" s="1" t="str" cm="1">
        <f t="array" ref="XEG5:XEG8">Rule_Category__Level_2</f>
        <v>Prospectus</v>
      </c>
      <c r="XEH5" s="1" cm="1">
        <f t="array" ref="XEH5:XEH8">Rule_Category__Level_1</f>
        <v>1</v>
      </c>
      <c r="XEI5" s="1">
        <v>3</v>
      </c>
      <c r="XEJ5" s="1" cm="1">
        <f t="array" ref="XEJ5:XEJ11">IF(_xlfn.UNIQUE(B3:B1048576)&lt;&gt;0,_xlfn.UNIQUE(B3:B1048576),"")</f>
        <v>1</v>
      </c>
      <c r="XEK5" s="1" t="str" cm="1">
        <f t="array" ref="XEK5:XEK7">IF(_xlfn.UNIQUE(C3:C1048576)&lt;&gt;0,_xlfn.UNIQUE(C3:C1048576),"")</f>
        <v>Prospectus</v>
      </c>
      <c r="XEL5" s="35" t="str">
        <f t="shared" ref="XEL5:XEM8" si="2">C3</f>
        <v>Prospectus</v>
      </c>
      <c r="XEM5" s="35" t="str">
        <f t="shared" si="2"/>
        <v>Fund Exposure</v>
      </c>
      <c r="XEO5" s="35" t="str">
        <v/>
      </c>
      <c r="XEP5" s="35" t="str">
        <v>Eligible Assets</v>
      </c>
      <c r="XER5" s="1" t="str">
        <f t="shared" si="0"/>
        <v/>
      </c>
      <c r="XES5" s="1" t="str">
        <f t="shared" si="1"/>
        <v>Eligible Assets</v>
      </c>
    </row>
    <row r="6" spans="1:26 16358:16377" ht="65.400000000000006" customHeight="1">
      <c r="A6" s="29" t="s">
        <v>23</v>
      </c>
      <c r="B6" s="30">
        <v>4</v>
      </c>
      <c r="C6" s="30" t="s">
        <v>10</v>
      </c>
      <c r="D6" s="30" t="s">
        <v>24</v>
      </c>
      <c r="E6" s="30" t="s">
        <v>25</v>
      </c>
      <c r="F6" s="31" t="s">
        <v>26</v>
      </c>
      <c r="G6" s="33" t="s">
        <v>27</v>
      </c>
      <c r="H6" s="30" t="s">
        <v>28</v>
      </c>
      <c r="I6" s="176" t="s">
        <v>28</v>
      </c>
      <c r="XEG6" s="1" t="str">
        <v>Regulation</v>
      </c>
      <c r="XEH6" s="1">
        <v>2</v>
      </c>
      <c r="XEI6" s="1">
        <v>4</v>
      </c>
      <c r="XEJ6" s="1">
        <v>2</v>
      </c>
      <c r="XEK6" s="1" t="str">
        <v>Regulation</v>
      </c>
      <c r="XEL6" s="35" t="str">
        <f t="shared" si="2"/>
        <v>Prospectus</v>
      </c>
      <c r="XEM6" s="35" t="str">
        <f t="shared" si="2"/>
        <v>Diversification Limits</v>
      </c>
      <c r="XEO6" s="35"/>
      <c r="XEP6" s="35" t="str">
        <v/>
      </c>
      <c r="XER6" s="1" t="str">
        <f t="shared" si="0"/>
        <v/>
      </c>
      <c r="XES6" s="1" t="str">
        <f t="shared" si="1"/>
        <v/>
      </c>
    </row>
    <row r="7" spans="1:26 16358:16377" ht="65.400000000000006" customHeight="1">
      <c r="A7" s="29" t="s">
        <v>29</v>
      </c>
      <c r="B7" s="30">
        <v>5</v>
      </c>
      <c r="C7" s="30" t="s">
        <v>10</v>
      </c>
      <c r="D7" s="30" t="s">
        <v>11</v>
      </c>
      <c r="E7" s="30" t="s">
        <v>30</v>
      </c>
      <c r="F7" s="31" t="s">
        <v>255</v>
      </c>
      <c r="G7" s="30"/>
      <c r="H7" s="32">
        <v>0.4</v>
      </c>
      <c r="I7" s="177">
        <v>0.4</v>
      </c>
      <c r="XED7" s="1" t="s">
        <v>300</v>
      </c>
      <c r="XEG7" s="1" t="str">
        <v/>
      </c>
      <c r="XEH7" s="1">
        <v>3</v>
      </c>
      <c r="XEI7" s="1">
        <v>5</v>
      </c>
      <c r="XEJ7" s="1">
        <v>3</v>
      </c>
      <c r="XEK7" s="1" t="str">
        <v/>
      </c>
      <c r="XEL7" s="35" t="str">
        <f t="shared" si="2"/>
        <v>Regulation</v>
      </c>
      <c r="XEM7" s="35" t="str">
        <f t="shared" si="2"/>
        <v>Concentration Limits</v>
      </c>
      <c r="XEQ7" s="1" t="s">
        <v>303</v>
      </c>
      <c r="XER7" s="1" t="str">
        <f t="shared" si="0"/>
        <v/>
      </c>
      <c r="XES7" s="1" t="str">
        <f t="shared" si="1"/>
        <v/>
      </c>
    </row>
    <row r="8" spans="1:26 16358:16377" ht="65.400000000000006" customHeight="1">
      <c r="A8" s="29" t="s">
        <v>29</v>
      </c>
      <c r="B8" s="30">
        <v>6</v>
      </c>
      <c r="C8" s="30" t="s">
        <v>19</v>
      </c>
      <c r="D8" s="30" t="s">
        <v>11</v>
      </c>
      <c r="E8" s="31" t="s">
        <v>31</v>
      </c>
      <c r="F8" s="31" t="s">
        <v>263</v>
      </c>
      <c r="G8" s="30"/>
      <c r="H8" s="32">
        <v>0.2</v>
      </c>
      <c r="I8" s="177">
        <v>0.2</v>
      </c>
      <c r="XEG8" s="1">
        <v>0</v>
      </c>
      <c r="XEH8" s="1">
        <v>4</v>
      </c>
      <c r="XEI8" s="1">
        <v>6</v>
      </c>
      <c r="XEJ8" s="1">
        <v>4</v>
      </c>
      <c r="XEL8" s="35" t="str">
        <f t="shared" si="2"/>
        <v>Prospectus</v>
      </c>
      <c r="XEM8" s="35" t="str">
        <f t="shared" si="2"/>
        <v>Eligible Assets</v>
      </c>
      <c r="XEQ8" s="59" t="s">
        <v>304</v>
      </c>
      <c r="XER8" s="1" t="str">
        <f t="shared" si="0"/>
        <v/>
      </c>
      <c r="XES8" s="1" t="str">
        <f t="shared" si="1"/>
        <v/>
      </c>
    </row>
    <row r="9" spans="1:26 16358:16377">
      <c r="A9" s="34"/>
      <c r="B9" s="34"/>
      <c r="C9" s="34"/>
      <c r="D9" s="34"/>
      <c r="E9" s="34"/>
      <c r="F9" s="34"/>
      <c r="G9" s="34"/>
      <c r="H9" s="34"/>
      <c r="I9" s="178"/>
      <c r="XEI9" s="1" t="str">
        <v/>
      </c>
      <c r="XEJ9" s="1">
        <v>5</v>
      </c>
      <c r="XEL9" s="35"/>
      <c r="XEM9" s="35" t="str">
        <f>D7</f>
        <v>Fund Exposure</v>
      </c>
      <c r="XER9" s="1" t="str">
        <f t="shared" si="0"/>
        <v/>
      </c>
      <c r="XES9" s="1" t="str">
        <f t="shared" si="1"/>
        <v/>
      </c>
    </row>
    <row r="10" spans="1:26 16358:16377">
      <c r="A10" s="34"/>
      <c r="B10" s="34"/>
      <c r="C10" s="81"/>
      <c r="D10" s="81"/>
      <c r="E10" s="34"/>
      <c r="F10" s="34"/>
      <c r="G10" s="34"/>
      <c r="H10" s="34"/>
      <c r="I10" s="179"/>
      <c r="XEJ10" s="1">
        <v>6</v>
      </c>
      <c r="XEL10" s="35" t="str">
        <f>C8</f>
        <v>Regulation</v>
      </c>
      <c r="XEM10" s="35" t="str">
        <f>D8</f>
        <v>Fund Exposure</v>
      </c>
      <c r="XER10" s="1" t="str">
        <f t="shared" si="0"/>
        <v/>
      </c>
      <c r="XES10" s="1" t="str">
        <f t="shared" si="1"/>
        <v/>
      </c>
    </row>
    <row r="11" spans="1:26 16358:16377">
      <c r="A11" s="180"/>
      <c r="B11" s="180"/>
      <c r="C11" s="180"/>
      <c r="D11" s="180"/>
      <c r="E11" s="180"/>
      <c r="F11" s="180"/>
      <c r="G11" s="180"/>
      <c r="H11" s="181"/>
      <c r="I11" s="3"/>
      <c r="XEJ11" s="1" t="str">
        <v/>
      </c>
      <c r="XEL11" s="35">
        <f t="shared" ref="XEL11:XEM13" si="3">C10</f>
        <v>0</v>
      </c>
      <c r="XEM11" s="35">
        <f t="shared" si="3"/>
        <v>0</v>
      </c>
      <c r="XER11" s="1" t="str">
        <f t="shared" si="0"/>
        <v/>
      </c>
      <c r="XES11" s="1" t="str">
        <f t="shared" si="1"/>
        <v/>
      </c>
    </row>
    <row r="12" spans="1:26 16358:16377">
      <c r="G12" s="1"/>
      <c r="XEL12" s="35">
        <f t="shared" si="3"/>
        <v>0</v>
      </c>
      <c r="XEM12" s="35">
        <f t="shared" si="3"/>
        <v>0</v>
      </c>
      <c r="XER12" s="1" t="str">
        <f t="shared" si="0"/>
        <v/>
      </c>
      <c r="XES12" s="1" t="str">
        <f t="shared" si="1"/>
        <v/>
      </c>
    </row>
    <row r="13" spans="1:26 16358:16377">
      <c r="XEL13" s="35">
        <f t="shared" si="3"/>
        <v>0</v>
      </c>
      <c r="XEM13" s="35">
        <f t="shared" si="3"/>
        <v>0</v>
      </c>
      <c r="XER13" s="1" t="str">
        <f t="shared" si="0"/>
        <v/>
      </c>
      <c r="XES13" s="1" t="str">
        <f t="shared" si="1"/>
        <v/>
      </c>
    </row>
    <row r="14" spans="1:26 16358:16377">
      <c r="XEL14" s="35">
        <f t="shared" ref="XEL14:XEL45" si="4">B13</f>
        <v>0</v>
      </c>
      <c r="XEM14" s="35">
        <f t="shared" ref="XEM14:XEM45" si="5">C13</f>
        <v>0</v>
      </c>
      <c r="XER14" s="1" t="str">
        <f t="shared" si="0"/>
        <v/>
      </c>
      <c r="XES14" s="1" t="str">
        <f t="shared" si="1"/>
        <v/>
      </c>
    </row>
    <row r="15" spans="1:26 16358:16377">
      <c r="XEL15" s="35">
        <f t="shared" si="4"/>
        <v>0</v>
      </c>
      <c r="XEM15" s="35">
        <f t="shared" si="5"/>
        <v>0</v>
      </c>
      <c r="XER15" s="1" t="str">
        <f t="shared" si="0"/>
        <v/>
      </c>
      <c r="XES15" s="1" t="str">
        <f t="shared" si="1"/>
        <v/>
      </c>
    </row>
    <row r="16" spans="1:26 16358:16377">
      <c r="XEL16" s="35">
        <f t="shared" si="4"/>
        <v>0</v>
      </c>
      <c r="XEM16" s="35">
        <f t="shared" si="5"/>
        <v>0</v>
      </c>
      <c r="XER16" s="1" t="str">
        <f t="shared" si="0"/>
        <v/>
      </c>
      <c r="XES16" s="1" t="str">
        <f t="shared" si="1"/>
        <v/>
      </c>
    </row>
    <row r="17" spans="1:3 16366:16373">
      <c r="XEL17" s="35">
        <f t="shared" si="4"/>
        <v>0</v>
      </c>
      <c r="XEM17" s="35">
        <f t="shared" si="5"/>
        <v>0</v>
      </c>
      <c r="XER17" s="1" t="str">
        <f t="shared" si="0"/>
        <v/>
      </c>
      <c r="XES17" s="1" t="str">
        <f t="shared" si="1"/>
        <v/>
      </c>
    </row>
    <row r="18" spans="1:3 16366:16373">
      <c r="XEL18" s="35">
        <f t="shared" si="4"/>
        <v>0</v>
      </c>
      <c r="XEM18" s="35">
        <f t="shared" si="5"/>
        <v>0</v>
      </c>
      <c r="XER18" s="1" t="str">
        <f t="shared" si="0"/>
        <v/>
      </c>
      <c r="XES18" s="1" t="str">
        <f t="shared" si="1"/>
        <v/>
      </c>
    </row>
    <row r="19" spans="1:3 16366:16373">
      <c r="A19" s="6"/>
      <c r="B19" s="6"/>
      <c r="C19" s="6"/>
      <c r="XEL19" s="35">
        <f t="shared" si="4"/>
        <v>0</v>
      </c>
      <c r="XEM19" s="35">
        <f t="shared" si="5"/>
        <v>0</v>
      </c>
      <c r="XER19" s="1" t="str">
        <f t="shared" si="0"/>
        <v/>
      </c>
      <c r="XES19" s="1" t="str">
        <f t="shared" si="1"/>
        <v/>
      </c>
    </row>
    <row r="20" spans="1:3 16366:16373">
      <c r="A20" s="6"/>
      <c r="B20" s="6"/>
      <c r="C20" s="6"/>
      <c r="XEL20" s="35">
        <f t="shared" si="4"/>
        <v>0</v>
      </c>
      <c r="XEM20" s="35">
        <f t="shared" si="5"/>
        <v>0</v>
      </c>
      <c r="XER20" s="1" t="str">
        <f t="shared" si="0"/>
        <v/>
      </c>
      <c r="XES20" s="1" t="str">
        <f t="shared" si="1"/>
        <v/>
      </c>
    </row>
    <row r="21" spans="1:3 16366:16373">
      <c r="A21" s="6"/>
      <c r="B21" s="6"/>
      <c r="C21" s="6"/>
      <c r="XEL21" s="35">
        <f t="shared" si="4"/>
        <v>0</v>
      </c>
      <c r="XEM21" s="35">
        <f t="shared" si="5"/>
        <v>0</v>
      </c>
      <c r="XER21" s="1" t="str">
        <f t="shared" si="0"/>
        <v/>
      </c>
      <c r="XES21" s="1" t="str">
        <f t="shared" si="1"/>
        <v/>
      </c>
    </row>
    <row r="22" spans="1:3 16366:16373">
      <c r="XEL22" s="35">
        <f t="shared" si="4"/>
        <v>0</v>
      </c>
      <c r="XEM22" s="35">
        <f t="shared" si="5"/>
        <v>0</v>
      </c>
      <c r="XER22" s="1" t="str">
        <f t="shared" si="0"/>
        <v/>
      </c>
      <c r="XES22" s="1" t="str">
        <f t="shared" si="1"/>
        <v/>
      </c>
    </row>
    <row r="23" spans="1:3 16366:16373">
      <c r="XEL23" s="35">
        <f t="shared" si="4"/>
        <v>0</v>
      </c>
      <c r="XEM23" s="35">
        <f t="shared" si="5"/>
        <v>0</v>
      </c>
      <c r="XER23" s="1" t="str">
        <f t="shared" si="0"/>
        <v/>
      </c>
      <c r="XES23" s="1" t="str">
        <f t="shared" si="1"/>
        <v/>
      </c>
    </row>
    <row r="24" spans="1:3 16366:16373">
      <c r="XEL24" s="35">
        <f t="shared" si="4"/>
        <v>0</v>
      </c>
      <c r="XEM24" s="35">
        <f t="shared" si="5"/>
        <v>0</v>
      </c>
      <c r="XER24" s="1" t="str">
        <f t="shared" si="0"/>
        <v/>
      </c>
      <c r="XES24" s="1" t="str">
        <f t="shared" si="1"/>
        <v/>
      </c>
    </row>
    <row r="25" spans="1:3 16366:16373">
      <c r="XEL25" s="35">
        <f t="shared" si="4"/>
        <v>0</v>
      </c>
      <c r="XEM25" s="35">
        <f t="shared" si="5"/>
        <v>0</v>
      </c>
      <c r="XER25" s="1" t="str">
        <f t="shared" si="0"/>
        <v/>
      </c>
      <c r="XES25" s="1" t="str">
        <f t="shared" si="1"/>
        <v/>
      </c>
    </row>
    <row r="26" spans="1:3 16366:16373">
      <c r="XEL26" s="35">
        <f t="shared" si="4"/>
        <v>0</v>
      </c>
      <c r="XEM26" s="35">
        <f t="shared" si="5"/>
        <v>0</v>
      </c>
    </row>
    <row r="27" spans="1:3 16366:16373">
      <c r="XEL27" s="35">
        <f t="shared" si="4"/>
        <v>0</v>
      </c>
      <c r="XEM27" s="35">
        <f t="shared" si="5"/>
        <v>0</v>
      </c>
    </row>
    <row r="28" spans="1:3 16366:16373">
      <c r="XEL28" s="35">
        <f t="shared" si="4"/>
        <v>0</v>
      </c>
      <c r="XEM28" s="35">
        <f t="shared" si="5"/>
        <v>0</v>
      </c>
    </row>
    <row r="29" spans="1:3 16366:16373">
      <c r="XEL29" s="35">
        <f t="shared" si="4"/>
        <v>0</v>
      </c>
      <c r="XEM29" s="35">
        <f t="shared" si="5"/>
        <v>0</v>
      </c>
    </row>
    <row r="30" spans="1:3 16366:16373">
      <c r="XEL30" s="35">
        <f t="shared" si="4"/>
        <v>0</v>
      </c>
      <c r="XEM30" s="35">
        <f t="shared" si="5"/>
        <v>0</v>
      </c>
    </row>
    <row r="31" spans="1:3 16366:16373">
      <c r="XEL31" s="35">
        <f t="shared" si="4"/>
        <v>0</v>
      </c>
      <c r="XEM31" s="35">
        <f t="shared" si="5"/>
        <v>0</v>
      </c>
    </row>
    <row r="32" spans="1:3 16366:16373">
      <c r="XEL32" s="35">
        <f t="shared" si="4"/>
        <v>0</v>
      </c>
      <c r="XEM32" s="35">
        <f t="shared" si="5"/>
        <v>0</v>
      </c>
    </row>
    <row r="33" spans="16366:16367">
      <c r="XEL33" s="35">
        <f t="shared" si="4"/>
        <v>0</v>
      </c>
      <c r="XEM33" s="35">
        <f t="shared" si="5"/>
        <v>0</v>
      </c>
    </row>
    <row r="34" spans="16366:16367">
      <c r="XEL34" s="35">
        <f t="shared" si="4"/>
        <v>0</v>
      </c>
      <c r="XEM34" s="35">
        <f t="shared" si="5"/>
        <v>0</v>
      </c>
    </row>
    <row r="35" spans="16366:16367">
      <c r="XEL35" s="35">
        <f t="shared" si="4"/>
        <v>0</v>
      </c>
      <c r="XEM35" s="35">
        <f t="shared" si="5"/>
        <v>0</v>
      </c>
    </row>
    <row r="36" spans="16366:16367">
      <c r="XEL36" s="35">
        <f t="shared" si="4"/>
        <v>0</v>
      </c>
      <c r="XEM36" s="35">
        <f t="shared" si="5"/>
        <v>0</v>
      </c>
    </row>
    <row r="37" spans="16366:16367">
      <c r="XEL37" s="35">
        <f t="shared" si="4"/>
        <v>0</v>
      </c>
      <c r="XEM37" s="35">
        <f t="shared" si="5"/>
        <v>0</v>
      </c>
    </row>
    <row r="38" spans="16366:16367">
      <c r="XEL38" s="35">
        <f t="shared" si="4"/>
        <v>0</v>
      </c>
      <c r="XEM38" s="35">
        <f t="shared" si="5"/>
        <v>0</v>
      </c>
    </row>
    <row r="39" spans="16366:16367">
      <c r="XEL39" s="35">
        <f t="shared" si="4"/>
        <v>0</v>
      </c>
      <c r="XEM39" s="35">
        <f t="shared" si="5"/>
        <v>0</v>
      </c>
    </row>
    <row r="40" spans="16366:16367">
      <c r="XEL40" s="35">
        <f t="shared" si="4"/>
        <v>0</v>
      </c>
      <c r="XEM40" s="35">
        <f t="shared" si="5"/>
        <v>0</v>
      </c>
    </row>
    <row r="41" spans="16366:16367">
      <c r="XEL41" s="35">
        <f t="shared" si="4"/>
        <v>0</v>
      </c>
      <c r="XEM41" s="35">
        <f t="shared" si="5"/>
        <v>0</v>
      </c>
    </row>
    <row r="42" spans="16366:16367">
      <c r="XEL42" s="35">
        <f t="shared" si="4"/>
        <v>0</v>
      </c>
      <c r="XEM42" s="35">
        <f t="shared" si="5"/>
        <v>0</v>
      </c>
    </row>
    <row r="43" spans="16366:16367">
      <c r="XEL43" s="35">
        <f t="shared" si="4"/>
        <v>0</v>
      </c>
      <c r="XEM43" s="35">
        <f t="shared" si="5"/>
        <v>0</v>
      </c>
    </row>
    <row r="44" spans="16366:16367">
      <c r="XEL44" s="35">
        <f t="shared" si="4"/>
        <v>0</v>
      </c>
      <c r="XEM44" s="35">
        <f t="shared" si="5"/>
        <v>0</v>
      </c>
    </row>
    <row r="45" spans="16366:16367">
      <c r="XEL45" s="35">
        <f t="shared" si="4"/>
        <v>0</v>
      </c>
      <c r="XEM45" s="35">
        <f t="shared" si="5"/>
        <v>0</v>
      </c>
    </row>
    <row r="46" spans="16366:16367">
      <c r="XEL46" s="35">
        <f t="shared" ref="XEL46:XEL69" si="6">B45</f>
        <v>0</v>
      </c>
      <c r="XEM46" s="35">
        <f t="shared" ref="XEM46:XEM69" si="7">C45</f>
        <v>0</v>
      </c>
    </row>
    <row r="47" spans="16366:16367">
      <c r="XEL47" s="35">
        <f t="shared" si="6"/>
        <v>0</v>
      </c>
      <c r="XEM47" s="35">
        <f t="shared" si="7"/>
        <v>0</v>
      </c>
    </row>
    <row r="48" spans="16366:16367">
      <c r="XEL48" s="35">
        <f t="shared" si="6"/>
        <v>0</v>
      </c>
      <c r="XEM48" s="35">
        <f t="shared" si="7"/>
        <v>0</v>
      </c>
    </row>
    <row r="49" spans="16366:16367">
      <c r="XEL49" s="35">
        <f t="shared" si="6"/>
        <v>0</v>
      </c>
      <c r="XEM49" s="35">
        <f t="shared" si="7"/>
        <v>0</v>
      </c>
    </row>
    <row r="50" spans="16366:16367">
      <c r="XEL50" s="35">
        <f t="shared" si="6"/>
        <v>0</v>
      </c>
      <c r="XEM50" s="35">
        <f t="shared" si="7"/>
        <v>0</v>
      </c>
    </row>
    <row r="51" spans="16366:16367">
      <c r="XEL51" s="35">
        <f t="shared" si="6"/>
        <v>0</v>
      </c>
      <c r="XEM51" s="35">
        <f t="shared" si="7"/>
        <v>0</v>
      </c>
    </row>
    <row r="52" spans="16366:16367">
      <c r="XEL52" s="35">
        <f t="shared" si="6"/>
        <v>0</v>
      </c>
      <c r="XEM52" s="35">
        <f t="shared" si="7"/>
        <v>0</v>
      </c>
    </row>
    <row r="53" spans="16366:16367">
      <c r="XEL53" s="35">
        <f t="shared" si="6"/>
        <v>0</v>
      </c>
      <c r="XEM53" s="35">
        <f t="shared" si="7"/>
        <v>0</v>
      </c>
    </row>
    <row r="54" spans="16366:16367">
      <c r="XEL54" s="35">
        <f t="shared" si="6"/>
        <v>0</v>
      </c>
      <c r="XEM54" s="35">
        <f t="shared" si="7"/>
        <v>0</v>
      </c>
    </row>
    <row r="55" spans="16366:16367">
      <c r="XEL55" s="35">
        <f t="shared" si="6"/>
        <v>0</v>
      </c>
      <c r="XEM55" s="35">
        <f t="shared" si="7"/>
        <v>0</v>
      </c>
    </row>
    <row r="56" spans="16366:16367">
      <c r="XEL56" s="35">
        <f t="shared" si="6"/>
        <v>0</v>
      </c>
      <c r="XEM56" s="35">
        <f t="shared" si="7"/>
        <v>0</v>
      </c>
    </row>
    <row r="57" spans="16366:16367">
      <c r="XEL57" s="35">
        <f t="shared" si="6"/>
        <v>0</v>
      </c>
      <c r="XEM57" s="35">
        <f t="shared" si="7"/>
        <v>0</v>
      </c>
    </row>
    <row r="58" spans="16366:16367">
      <c r="XEL58" s="35">
        <f t="shared" si="6"/>
        <v>0</v>
      </c>
      <c r="XEM58" s="35">
        <f t="shared" si="7"/>
        <v>0</v>
      </c>
    </row>
    <row r="59" spans="16366:16367">
      <c r="XEL59" s="35">
        <f t="shared" si="6"/>
        <v>0</v>
      </c>
      <c r="XEM59" s="35">
        <f t="shared" si="7"/>
        <v>0</v>
      </c>
    </row>
    <row r="60" spans="16366:16367">
      <c r="XEL60" s="35">
        <f t="shared" si="6"/>
        <v>0</v>
      </c>
      <c r="XEM60" s="35">
        <f t="shared" si="7"/>
        <v>0</v>
      </c>
    </row>
    <row r="61" spans="16366:16367">
      <c r="XEL61" s="35">
        <f t="shared" si="6"/>
        <v>0</v>
      </c>
      <c r="XEM61" s="35">
        <f t="shared" si="7"/>
        <v>0</v>
      </c>
    </row>
    <row r="62" spans="16366:16367">
      <c r="XEL62" s="35">
        <f t="shared" si="6"/>
        <v>0</v>
      </c>
      <c r="XEM62" s="35">
        <f t="shared" si="7"/>
        <v>0</v>
      </c>
    </row>
    <row r="63" spans="16366:16367">
      <c r="XEL63" s="35">
        <f t="shared" si="6"/>
        <v>0</v>
      </c>
      <c r="XEM63" s="35">
        <f t="shared" si="7"/>
        <v>0</v>
      </c>
    </row>
    <row r="64" spans="16366:16367">
      <c r="XEL64" s="35">
        <f t="shared" si="6"/>
        <v>0</v>
      </c>
      <c r="XEM64" s="35">
        <f t="shared" si="7"/>
        <v>0</v>
      </c>
    </row>
    <row r="65" spans="16366:16367">
      <c r="XEL65" s="35">
        <f t="shared" si="6"/>
        <v>0</v>
      </c>
      <c r="XEM65" s="35">
        <f t="shared" si="7"/>
        <v>0</v>
      </c>
    </row>
    <row r="66" spans="16366:16367">
      <c r="XEL66" s="35">
        <f t="shared" si="6"/>
        <v>0</v>
      </c>
      <c r="XEM66" s="35">
        <f t="shared" si="7"/>
        <v>0</v>
      </c>
    </row>
    <row r="67" spans="16366:16367">
      <c r="XEL67" s="35">
        <f t="shared" si="6"/>
        <v>0</v>
      </c>
      <c r="XEM67" s="35">
        <f t="shared" si="7"/>
        <v>0</v>
      </c>
    </row>
    <row r="68" spans="16366:16367">
      <c r="XEL68" s="35">
        <f t="shared" si="6"/>
        <v>0</v>
      </c>
      <c r="XEM68" s="35">
        <f t="shared" si="7"/>
        <v>0</v>
      </c>
    </row>
    <row r="69" spans="16366:16367">
      <c r="XEL69" s="35">
        <f t="shared" si="6"/>
        <v>0</v>
      </c>
      <c r="XEM69" s="35">
        <f t="shared" si="7"/>
        <v>0</v>
      </c>
    </row>
    <row r="70" spans="16366:16367">
      <c r="XEL70" s="35">
        <f t="shared" ref="XEL70:XEM133" si="8">B69</f>
        <v>0</v>
      </c>
      <c r="XEM70" s="35">
        <f t="shared" si="8"/>
        <v>0</v>
      </c>
    </row>
    <row r="71" spans="16366:16367">
      <c r="XEL71" s="35">
        <f t="shared" si="8"/>
        <v>0</v>
      </c>
      <c r="XEM71" s="35">
        <f t="shared" si="8"/>
        <v>0</v>
      </c>
    </row>
    <row r="72" spans="16366:16367">
      <c r="XEL72" s="35">
        <f t="shared" si="8"/>
        <v>0</v>
      </c>
      <c r="XEM72" s="35">
        <f t="shared" si="8"/>
        <v>0</v>
      </c>
    </row>
    <row r="73" spans="16366:16367">
      <c r="XEL73" s="35">
        <f t="shared" si="8"/>
        <v>0</v>
      </c>
      <c r="XEM73" s="35">
        <f t="shared" si="8"/>
        <v>0</v>
      </c>
    </row>
    <row r="74" spans="16366:16367">
      <c r="XEL74" s="35">
        <f t="shared" si="8"/>
        <v>0</v>
      </c>
      <c r="XEM74" s="35">
        <f t="shared" si="8"/>
        <v>0</v>
      </c>
    </row>
    <row r="75" spans="16366:16367">
      <c r="XEL75" s="35">
        <f t="shared" si="8"/>
        <v>0</v>
      </c>
      <c r="XEM75" s="35">
        <f t="shared" si="8"/>
        <v>0</v>
      </c>
    </row>
    <row r="76" spans="16366:16367">
      <c r="XEL76" s="35">
        <f t="shared" si="8"/>
        <v>0</v>
      </c>
      <c r="XEM76" s="35">
        <f t="shared" si="8"/>
        <v>0</v>
      </c>
    </row>
    <row r="77" spans="16366:16367">
      <c r="XEL77" s="35">
        <f t="shared" si="8"/>
        <v>0</v>
      </c>
      <c r="XEM77" s="35">
        <f t="shared" si="8"/>
        <v>0</v>
      </c>
    </row>
    <row r="78" spans="16366:16367">
      <c r="XEL78" s="35">
        <f t="shared" si="8"/>
        <v>0</v>
      </c>
      <c r="XEM78" s="35">
        <f t="shared" si="8"/>
        <v>0</v>
      </c>
    </row>
    <row r="79" spans="16366:16367">
      <c r="XEL79" s="35">
        <f t="shared" si="8"/>
        <v>0</v>
      </c>
      <c r="XEM79" s="35">
        <f t="shared" si="8"/>
        <v>0</v>
      </c>
    </row>
    <row r="80" spans="16366:16367">
      <c r="XEL80" s="35">
        <f t="shared" si="8"/>
        <v>0</v>
      </c>
      <c r="XEM80" s="35">
        <f t="shared" si="8"/>
        <v>0</v>
      </c>
    </row>
    <row r="81" spans="16366:16367">
      <c r="XEL81" s="35">
        <f t="shared" si="8"/>
        <v>0</v>
      </c>
      <c r="XEM81" s="35">
        <f t="shared" si="8"/>
        <v>0</v>
      </c>
    </row>
    <row r="82" spans="16366:16367">
      <c r="XEL82" s="35">
        <f t="shared" si="8"/>
        <v>0</v>
      </c>
      <c r="XEM82" s="35">
        <f t="shared" si="8"/>
        <v>0</v>
      </c>
    </row>
    <row r="83" spans="16366:16367">
      <c r="XEL83" s="35">
        <f t="shared" si="8"/>
        <v>0</v>
      </c>
      <c r="XEM83" s="35">
        <f t="shared" si="8"/>
        <v>0</v>
      </c>
    </row>
    <row r="84" spans="16366:16367">
      <c r="XEL84" s="35">
        <f t="shared" si="8"/>
        <v>0</v>
      </c>
      <c r="XEM84" s="35">
        <f t="shared" si="8"/>
        <v>0</v>
      </c>
    </row>
    <row r="85" spans="16366:16367">
      <c r="XEL85" s="35">
        <f t="shared" si="8"/>
        <v>0</v>
      </c>
      <c r="XEM85" s="35">
        <f t="shared" si="8"/>
        <v>0</v>
      </c>
    </row>
    <row r="86" spans="16366:16367">
      <c r="XEL86" s="35">
        <f t="shared" si="8"/>
        <v>0</v>
      </c>
      <c r="XEM86" s="35">
        <f t="shared" si="8"/>
        <v>0</v>
      </c>
    </row>
    <row r="87" spans="16366:16367">
      <c r="XEL87" s="35">
        <f t="shared" si="8"/>
        <v>0</v>
      </c>
      <c r="XEM87" s="35">
        <f t="shared" si="8"/>
        <v>0</v>
      </c>
    </row>
    <row r="88" spans="16366:16367">
      <c r="XEL88" s="35">
        <f t="shared" si="8"/>
        <v>0</v>
      </c>
      <c r="XEM88" s="35">
        <f t="shared" si="8"/>
        <v>0</v>
      </c>
    </row>
    <row r="89" spans="16366:16367">
      <c r="XEL89" s="35">
        <f t="shared" si="8"/>
        <v>0</v>
      </c>
      <c r="XEM89" s="35">
        <f t="shared" si="8"/>
        <v>0</v>
      </c>
    </row>
    <row r="90" spans="16366:16367">
      <c r="XEL90" s="35">
        <f t="shared" si="8"/>
        <v>0</v>
      </c>
      <c r="XEM90" s="35">
        <f t="shared" si="8"/>
        <v>0</v>
      </c>
    </row>
    <row r="91" spans="16366:16367">
      <c r="XEL91" s="35">
        <f t="shared" si="8"/>
        <v>0</v>
      </c>
      <c r="XEM91" s="35">
        <f t="shared" si="8"/>
        <v>0</v>
      </c>
    </row>
    <row r="92" spans="16366:16367">
      <c r="XEL92" s="35">
        <f t="shared" si="8"/>
        <v>0</v>
      </c>
      <c r="XEM92" s="35">
        <f t="shared" si="8"/>
        <v>0</v>
      </c>
    </row>
    <row r="93" spans="16366:16367">
      <c r="XEL93" s="35">
        <f t="shared" si="8"/>
        <v>0</v>
      </c>
      <c r="XEM93" s="35">
        <f t="shared" si="8"/>
        <v>0</v>
      </c>
    </row>
    <row r="94" spans="16366:16367">
      <c r="XEL94" s="35">
        <f t="shared" si="8"/>
        <v>0</v>
      </c>
      <c r="XEM94" s="35">
        <f t="shared" si="8"/>
        <v>0</v>
      </c>
    </row>
    <row r="95" spans="16366:16367">
      <c r="XEL95" s="35">
        <f t="shared" si="8"/>
        <v>0</v>
      </c>
      <c r="XEM95" s="35">
        <f t="shared" si="8"/>
        <v>0</v>
      </c>
    </row>
    <row r="96" spans="16366:16367">
      <c r="XEL96" s="35">
        <f t="shared" si="8"/>
        <v>0</v>
      </c>
      <c r="XEM96" s="35">
        <f t="shared" si="8"/>
        <v>0</v>
      </c>
    </row>
    <row r="97" spans="16366:16367">
      <c r="XEL97" s="35">
        <f t="shared" si="8"/>
        <v>0</v>
      </c>
      <c r="XEM97" s="35">
        <f t="shared" si="8"/>
        <v>0</v>
      </c>
    </row>
    <row r="98" spans="16366:16367">
      <c r="XEL98" s="35">
        <f t="shared" si="8"/>
        <v>0</v>
      </c>
      <c r="XEM98" s="35">
        <f t="shared" si="8"/>
        <v>0</v>
      </c>
    </row>
    <row r="99" spans="16366:16367">
      <c r="XEL99" s="35">
        <f t="shared" si="8"/>
        <v>0</v>
      </c>
      <c r="XEM99" s="35">
        <f t="shared" si="8"/>
        <v>0</v>
      </c>
    </row>
    <row r="100" spans="16366:16367">
      <c r="XEL100" s="35">
        <f t="shared" si="8"/>
        <v>0</v>
      </c>
      <c r="XEM100" s="35">
        <f t="shared" si="8"/>
        <v>0</v>
      </c>
    </row>
    <row r="101" spans="16366:16367">
      <c r="XEL101" s="35">
        <f t="shared" si="8"/>
        <v>0</v>
      </c>
      <c r="XEM101" s="35">
        <f t="shared" si="8"/>
        <v>0</v>
      </c>
    </row>
    <row r="102" spans="16366:16367">
      <c r="XEL102" s="35">
        <f t="shared" si="8"/>
        <v>0</v>
      </c>
      <c r="XEM102" s="35">
        <f t="shared" si="8"/>
        <v>0</v>
      </c>
    </row>
    <row r="103" spans="16366:16367">
      <c r="XEL103" s="35">
        <f t="shared" si="8"/>
        <v>0</v>
      </c>
      <c r="XEM103" s="35">
        <f t="shared" si="8"/>
        <v>0</v>
      </c>
    </row>
    <row r="104" spans="16366:16367">
      <c r="XEL104" s="35">
        <f t="shared" si="8"/>
        <v>0</v>
      </c>
      <c r="XEM104" s="35">
        <f t="shared" si="8"/>
        <v>0</v>
      </c>
    </row>
    <row r="105" spans="16366:16367">
      <c r="XEL105" s="35">
        <f t="shared" si="8"/>
        <v>0</v>
      </c>
      <c r="XEM105" s="35">
        <f t="shared" si="8"/>
        <v>0</v>
      </c>
    </row>
    <row r="106" spans="16366:16367">
      <c r="XEL106" s="35">
        <f t="shared" si="8"/>
        <v>0</v>
      </c>
      <c r="XEM106" s="35">
        <f t="shared" si="8"/>
        <v>0</v>
      </c>
    </row>
    <row r="107" spans="16366:16367">
      <c r="XEL107" s="35">
        <f t="shared" si="8"/>
        <v>0</v>
      </c>
      <c r="XEM107" s="35">
        <f t="shared" si="8"/>
        <v>0</v>
      </c>
    </row>
    <row r="108" spans="16366:16367">
      <c r="XEL108" s="35">
        <f t="shared" si="8"/>
        <v>0</v>
      </c>
      <c r="XEM108" s="35">
        <f t="shared" si="8"/>
        <v>0</v>
      </c>
    </row>
    <row r="109" spans="16366:16367">
      <c r="XEL109" s="35">
        <f t="shared" si="8"/>
        <v>0</v>
      </c>
      <c r="XEM109" s="35">
        <f t="shared" si="8"/>
        <v>0</v>
      </c>
    </row>
    <row r="110" spans="16366:16367">
      <c r="XEL110" s="35">
        <f t="shared" si="8"/>
        <v>0</v>
      </c>
      <c r="XEM110" s="35">
        <f t="shared" si="8"/>
        <v>0</v>
      </c>
    </row>
    <row r="111" spans="16366:16367">
      <c r="XEL111" s="35">
        <f t="shared" si="8"/>
        <v>0</v>
      </c>
      <c r="XEM111" s="35">
        <f t="shared" si="8"/>
        <v>0</v>
      </c>
    </row>
    <row r="112" spans="16366:16367">
      <c r="XEL112" s="35">
        <f t="shared" si="8"/>
        <v>0</v>
      </c>
      <c r="XEM112" s="35">
        <f t="shared" si="8"/>
        <v>0</v>
      </c>
    </row>
    <row r="113" spans="16366:16367">
      <c r="XEL113" s="35">
        <f t="shared" si="8"/>
        <v>0</v>
      </c>
      <c r="XEM113" s="35">
        <f t="shared" si="8"/>
        <v>0</v>
      </c>
    </row>
    <row r="114" spans="16366:16367">
      <c r="XEL114" s="35">
        <f t="shared" si="8"/>
        <v>0</v>
      </c>
      <c r="XEM114" s="35">
        <f t="shared" si="8"/>
        <v>0</v>
      </c>
    </row>
    <row r="115" spans="16366:16367">
      <c r="XEL115" s="35">
        <f t="shared" si="8"/>
        <v>0</v>
      </c>
      <c r="XEM115" s="35">
        <f t="shared" si="8"/>
        <v>0</v>
      </c>
    </row>
    <row r="116" spans="16366:16367">
      <c r="XEL116" s="35">
        <f t="shared" si="8"/>
        <v>0</v>
      </c>
      <c r="XEM116" s="35">
        <f t="shared" si="8"/>
        <v>0</v>
      </c>
    </row>
    <row r="117" spans="16366:16367">
      <c r="XEL117" s="35">
        <f t="shared" si="8"/>
        <v>0</v>
      </c>
      <c r="XEM117" s="35">
        <f t="shared" si="8"/>
        <v>0</v>
      </c>
    </row>
    <row r="118" spans="16366:16367">
      <c r="XEL118" s="35">
        <f t="shared" si="8"/>
        <v>0</v>
      </c>
      <c r="XEM118" s="35">
        <f t="shared" si="8"/>
        <v>0</v>
      </c>
    </row>
    <row r="119" spans="16366:16367">
      <c r="XEL119" s="35">
        <f t="shared" si="8"/>
        <v>0</v>
      </c>
      <c r="XEM119" s="35">
        <f t="shared" si="8"/>
        <v>0</v>
      </c>
    </row>
    <row r="120" spans="16366:16367">
      <c r="XEL120" s="35">
        <f t="shared" si="8"/>
        <v>0</v>
      </c>
      <c r="XEM120" s="35">
        <f t="shared" si="8"/>
        <v>0</v>
      </c>
    </row>
    <row r="121" spans="16366:16367">
      <c r="XEL121" s="35">
        <f t="shared" si="8"/>
        <v>0</v>
      </c>
      <c r="XEM121" s="35">
        <f t="shared" si="8"/>
        <v>0</v>
      </c>
    </row>
    <row r="122" spans="16366:16367">
      <c r="XEL122" s="35">
        <f t="shared" si="8"/>
        <v>0</v>
      </c>
      <c r="XEM122" s="35">
        <f t="shared" si="8"/>
        <v>0</v>
      </c>
    </row>
    <row r="123" spans="16366:16367">
      <c r="XEL123" s="35">
        <f t="shared" si="8"/>
        <v>0</v>
      </c>
      <c r="XEM123" s="35">
        <f t="shared" si="8"/>
        <v>0</v>
      </c>
    </row>
    <row r="124" spans="16366:16367">
      <c r="XEL124" s="35">
        <f t="shared" si="8"/>
        <v>0</v>
      </c>
      <c r="XEM124" s="35">
        <f t="shared" si="8"/>
        <v>0</v>
      </c>
    </row>
    <row r="125" spans="16366:16367">
      <c r="XEL125" s="35">
        <f t="shared" si="8"/>
        <v>0</v>
      </c>
      <c r="XEM125" s="35">
        <f t="shared" si="8"/>
        <v>0</v>
      </c>
    </row>
    <row r="126" spans="16366:16367">
      <c r="XEL126" s="35">
        <f t="shared" si="8"/>
        <v>0</v>
      </c>
      <c r="XEM126" s="35">
        <f t="shared" si="8"/>
        <v>0</v>
      </c>
    </row>
    <row r="127" spans="16366:16367">
      <c r="XEL127" s="35">
        <f t="shared" si="8"/>
        <v>0</v>
      </c>
      <c r="XEM127" s="35">
        <f t="shared" si="8"/>
        <v>0</v>
      </c>
    </row>
    <row r="128" spans="16366:16367">
      <c r="XEL128" s="35">
        <f t="shared" si="8"/>
        <v>0</v>
      </c>
      <c r="XEM128" s="35">
        <f t="shared" si="8"/>
        <v>0</v>
      </c>
    </row>
    <row r="129" spans="16366:16367">
      <c r="XEL129" s="35">
        <f t="shared" si="8"/>
        <v>0</v>
      </c>
      <c r="XEM129" s="35">
        <f t="shared" si="8"/>
        <v>0</v>
      </c>
    </row>
    <row r="130" spans="16366:16367">
      <c r="XEL130" s="35">
        <f t="shared" si="8"/>
        <v>0</v>
      </c>
      <c r="XEM130" s="35">
        <f t="shared" si="8"/>
        <v>0</v>
      </c>
    </row>
    <row r="131" spans="16366:16367">
      <c r="XEL131" s="35">
        <f t="shared" si="8"/>
        <v>0</v>
      </c>
      <c r="XEM131" s="35">
        <f t="shared" si="8"/>
        <v>0</v>
      </c>
    </row>
    <row r="132" spans="16366:16367">
      <c r="XEL132" s="35">
        <f t="shared" si="8"/>
        <v>0</v>
      </c>
      <c r="XEM132" s="35">
        <f t="shared" si="8"/>
        <v>0</v>
      </c>
    </row>
    <row r="133" spans="16366:16367">
      <c r="XEL133" s="35">
        <f t="shared" si="8"/>
        <v>0</v>
      </c>
      <c r="XEM133" s="35">
        <f t="shared" si="8"/>
        <v>0</v>
      </c>
    </row>
    <row r="134" spans="16366:16367">
      <c r="XEL134" s="35">
        <f t="shared" ref="XEL134:XEM197" si="9">B133</f>
        <v>0</v>
      </c>
      <c r="XEM134" s="35">
        <f t="shared" si="9"/>
        <v>0</v>
      </c>
    </row>
    <row r="135" spans="16366:16367">
      <c r="XEL135" s="35">
        <f t="shared" si="9"/>
        <v>0</v>
      </c>
      <c r="XEM135" s="35">
        <f t="shared" si="9"/>
        <v>0</v>
      </c>
    </row>
    <row r="136" spans="16366:16367">
      <c r="XEL136" s="35">
        <f t="shared" si="9"/>
        <v>0</v>
      </c>
      <c r="XEM136" s="35">
        <f t="shared" si="9"/>
        <v>0</v>
      </c>
    </row>
    <row r="137" spans="16366:16367">
      <c r="XEL137" s="35">
        <f t="shared" si="9"/>
        <v>0</v>
      </c>
      <c r="XEM137" s="35">
        <f t="shared" si="9"/>
        <v>0</v>
      </c>
    </row>
    <row r="138" spans="16366:16367">
      <c r="XEL138" s="35">
        <f t="shared" si="9"/>
        <v>0</v>
      </c>
      <c r="XEM138" s="35">
        <f t="shared" si="9"/>
        <v>0</v>
      </c>
    </row>
    <row r="139" spans="16366:16367">
      <c r="XEL139" s="35">
        <f t="shared" si="9"/>
        <v>0</v>
      </c>
      <c r="XEM139" s="35">
        <f t="shared" si="9"/>
        <v>0</v>
      </c>
    </row>
    <row r="140" spans="16366:16367">
      <c r="XEL140" s="35">
        <f t="shared" si="9"/>
        <v>0</v>
      </c>
      <c r="XEM140" s="35">
        <f t="shared" si="9"/>
        <v>0</v>
      </c>
    </row>
    <row r="141" spans="16366:16367">
      <c r="XEL141" s="35">
        <f t="shared" si="9"/>
        <v>0</v>
      </c>
      <c r="XEM141" s="35">
        <f t="shared" si="9"/>
        <v>0</v>
      </c>
    </row>
    <row r="142" spans="16366:16367">
      <c r="XEL142" s="35">
        <f t="shared" si="9"/>
        <v>0</v>
      </c>
      <c r="XEM142" s="35">
        <f t="shared" si="9"/>
        <v>0</v>
      </c>
    </row>
    <row r="143" spans="16366:16367">
      <c r="XEL143" s="35">
        <f t="shared" si="9"/>
        <v>0</v>
      </c>
      <c r="XEM143" s="35">
        <f t="shared" si="9"/>
        <v>0</v>
      </c>
    </row>
    <row r="144" spans="16366:16367">
      <c r="XEL144" s="35">
        <f t="shared" si="9"/>
        <v>0</v>
      </c>
      <c r="XEM144" s="35">
        <f t="shared" si="9"/>
        <v>0</v>
      </c>
    </row>
    <row r="145" spans="16366:16367">
      <c r="XEL145" s="35">
        <f t="shared" si="9"/>
        <v>0</v>
      </c>
      <c r="XEM145" s="35">
        <f t="shared" si="9"/>
        <v>0</v>
      </c>
    </row>
    <row r="146" spans="16366:16367">
      <c r="XEL146" s="35">
        <f t="shared" si="9"/>
        <v>0</v>
      </c>
      <c r="XEM146" s="35">
        <f t="shared" si="9"/>
        <v>0</v>
      </c>
    </row>
    <row r="147" spans="16366:16367">
      <c r="XEL147" s="35">
        <f t="shared" si="9"/>
        <v>0</v>
      </c>
      <c r="XEM147" s="35">
        <f t="shared" si="9"/>
        <v>0</v>
      </c>
    </row>
    <row r="148" spans="16366:16367">
      <c r="XEL148" s="35">
        <f t="shared" si="9"/>
        <v>0</v>
      </c>
      <c r="XEM148" s="35">
        <f t="shared" si="9"/>
        <v>0</v>
      </c>
    </row>
    <row r="149" spans="16366:16367">
      <c r="XEL149" s="35">
        <f t="shared" si="9"/>
        <v>0</v>
      </c>
      <c r="XEM149" s="35">
        <f t="shared" si="9"/>
        <v>0</v>
      </c>
    </row>
    <row r="150" spans="16366:16367">
      <c r="XEL150" s="35">
        <f t="shared" si="9"/>
        <v>0</v>
      </c>
      <c r="XEM150" s="35">
        <f t="shared" si="9"/>
        <v>0</v>
      </c>
    </row>
    <row r="151" spans="16366:16367">
      <c r="XEL151" s="35">
        <f t="shared" si="9"/>
        <v>0</v>
      </c>
      <c r="XEM151" s="35">
        <f t="shared" si="9"/>
        <v>0</v>
      </c>
    </row>
    <row r="152" spans="16366:16367">
      <c r="XEL152" s="35">
        <f t="shared" si="9"/>
        <v>0</v>
      </c>
      <c r="XEM152" s="35">
        <f t="shared" si="9"/>
        <v>0</v>
      </c>
    </row>
    <row r="153" spans="16366:16367">
      <c r="XEL153" s="35">
        <f t="shared" si="9"/>
        <v>0</v>
      </c>
      <c r="XEM153" s="35">
        <f t="shared" si="9"/>
        <v>0</v>
      </c>
    </row>
    <row r="154" spans="16366:16367">
      <c r="XEL154" s="35">
        <f t="shared" si="9"/>
        <v>0</v>
      </c>
      <c r="XEM154" s="35">
        <f t="shared" si="9"/>
        <v>0</v>
      </c>
    </row>
    <row r="155" spans="16366:16367">
      <c r="XEL155" s="35">
        <f t="shared" si="9"/>
        <v>0</v>
      </c>
      <c r="XEM155" s="35">
        <f t="shared" si="9"/>
        <v>0</v>
      </c>
    </row>
    <row r="156" spans="16366:16367">
      <c r="XEL156" s="35">
        <f t="shared" si="9"/>
        <v>0</v>
      </c>
      <c r="XEM156" s="35">
        <f t="shared" si="9"/>
        <v>0</v>
      </c>
    </row>
    <row r="157" spans="16366:16367">
      <c r="XEL157" s="35">
        <f t="shared" si="9"/>
        <v>0</v>
      </c>
      <c r="XEM157" s="35">
        <f t="shared" si="9"/>
        <v>0</v>
      </c>
    </row>
    <row r="158" spans="16366:16367">
      <c r="XEL158" s="35">
        <f t="shared" si="9"/>
        <v>0</v>
      </c>
      <c r="XEM158" s="35">
        <f t="shared" si="9"/>
        <v>0</v>
      </c>
    </row>
    <row r="159" spans="16366:16367">
      <c r="XEL159" s="35">
        <f t="shared" si="9"/>
        <v>0</v>
      </c>
      <c r="XEM159" s="35">
        <f t="shared" si="9"/>
        <v>0</v>
      </c>
    </row>
    <row r="160" spans="16366:16367">
      <c r="XEL160" s="35">
        <f t="shared" si="9"/>
        <v>0</v>
      </c>
      <c r="XEM160" s="35">
        <f t="shared" si="9"/>
        <v>0</v>
      </c>
    </row>
    <row r="161" spans="16366:16367">
      <c r="XEL161" s="35">
        <f t="shared" si="9"/>
        <v>0</v>
      </c>
      <c r="XEM161" s="35">
        <f t="shared" si="9"/>
        <v>0</v>
      </c>
    </row>
    <row r="162" spans="16366:16367">
      <c r="XEL162" s="35">
        <f t="shared" si="9"/>
        <v>0</v>
      </c>
      <c r="XEM162" s="35">
        <f t="shared" si="9"/>
        <v>0</v>
      </c>
    </row>
    <row r="163" spans="16366:16367">
      <c r="XEL163" s="35">
        <f t="shared" si="9"/>
        <v>0</v>
      </c>
      <c r="XEM163" s="35">
        <f t="shared" si="9"/>
        <v>0</v>
      </c>
    </row>
    <row r="164" spans="16366:16367">
      <c r="XEL164" s="35">
        <f t="shared" si="9"/>
        <v>0</v>
      </c>
      <c r="XEM164" s="35">
        <f t="shared" si="9"/>
        <v>0</v>
      </c>
    </row>
    <row r="165" spans="16366:16367">
      <c r="XEL165" s="35">
        <f t="shared" si="9"/>
        <v>0</v>
      </c>
      <c r="XEM165" s="35">
        <f t="shared" si="9"/>
        <v>0</v>
      </c>
    </row>
    <row r="166" spans="16366:16367">
      <c r="XEL166" s="35">
        <f t="shared" si="9"/>
        <v>0</v>
      </c>
      <c r="XEM166" s="35">
        <f t="shared" si="9"/>
        <v>0</v>
      </c>
    </row>
    <row r="167" spans="16366:16367">
      <c r="XEL167" s="35">
        <f t="shared" si="9"/>
        <v>0</v>
      </c>
      <c r="XEM167" s="35">
        <f t="shared" si="9"/>
        <v>0</v>
      </c>
    </row>
    <row r="168" spans="16366:16367">
      <c r="XEL168" s="35">
        <f t="shared" si="9"/>
        <v>0</v>
      </c>
      <c r="XEM168" s="35">
        <f t="shared" si="9"/>
        <v>0</v>
      </c>
    </row>
    <row r="169" spans="16366:16367">
      <c r="XEL169" s="35">
        <f t="shared" si="9"/>
        <v>0</v>
      </c>
      <c r="XEM169" s="35">
        <f t="shared" si="9"/>
        <v>0</v>
      </c>
    </row>
    <row r="170" spans="16366:16367">
      <c r="XEL170" s="35">
        <f t="shared" si="9"/>
        <v>0</v>
      </c>
      <c r="XEM170" s="35">
        <f t="shared" si="9"/>
        <v>0</v>
      </c>
    </row>
    <row r="171" spans="16366:16367">
      <c r="XEL171" s="35">
        <f t="shared" si="9"/>
        <v>0</v>
      </c>
      <c r="XEM171" s="35">
        <f t="shared" si="9"/>
        <v>0</v>
      </c>
    </row>
    <row r="172" spans="16366:16367">
      <c r="XEL172" s="35">
        <f t="shared" si="9"/>
        <v>0</v>
      </c>
      <c r="XEM172" s="35">
        <f t="shared" si="9"/>
        <v>0</v>
      </c>
    </row>
    <row r="173" spans="16366:16367">
      <c r="XEL173" s="35">
        <f t="shared" si="9"/>
        <v>0</v>
      </c>
      <c r="XEM173" s="35">
        <f t="shared" si="9"/>
        <v>0</v>
      </c>
    </row>
    <row r="174" spans="16366:16367">
      <c r="XEL174" s="35">
        <f t="shared" si="9"/>
        <v>0</v>
      </c>
      <c r="XEM174" s="35">
        <f t="shared" si="9"/>
        <v>0</v>
      </c>
    </row>
    <row r="175" spans="16366:16367">
      <c r="XEL175" s="35">
        <f t="shared" si="9"/>
        <v>0</v>
      </c>
      <c r="XEM175" s="35">
        <f t="shared" si="9"/>
        <v>0</v>
      </c>
    </row>
    <row r="176" spans="16366:16367">
      <c r="XEL176" s="35">
        <f t="shared" si="9"/>
        <v>0</v>
      </c>
      <c r="XEM176" s="35">
        <f t="shared" si="9"/>
        <v>0</v>
      </c>
    </row>
    <row r="177" spans="16366:16367">
      <c r="XEL177" s="35">
        <f t="shared" si="9"/>
        <v>0</v>
      </c>
      <c r="XEM177" s="35">
        <f t="shared" si="9"/>
        <v>0</v>
      </c>
    </row>
    <row r="178" spans="16366:16367">
      <c r="XEL178" s="35">
        <f t="shared" si="9"/>
        <v>0</v>
      </c>
      <c r="XEM178" s="35">
        <f t="shared" si="9"/>
        <v>0</v>
      </c>
    </row>
    <row r="179" spans="16366:16367">
      <c r="XEL179" s="35">
        <f t="shared" si="9"/>
        <v>0</v>
      </c>
      <c r="XEM179" s="35">
        <f t="shared" si="9"/>
        <v>0</v>
      </c>
    </row>
    <row r="180" spans="16366:16367">
      <c r="XEL180" s="35">
        <f t="shared" si="9"/>
        <v>0</v>
      </c>
      <c r="XEM180" s="35">
        <f t="shared" si="9"/>
        <v>0</v>
      </c>
    </row>
    <row r="181" spans="16366:16367">
      <c r="XEL181" s="35">
        <f t="shared" si="9"/>
        <v>0</v>
      </c>
      <c r="XEM181" s="35">
        <f t="shared" si="9"/>
        <v>0</v>
      </c>
    </row>
    <row r="182" spans="16366:16367">
      <c r="XEL182" s="35">
        <f t="shared" si="9"/>
        <v>0</v>
      </c>
      <c r="XEM182" s="35">
        <f t="shared" si="9"/>
        <v>0</v>
      </c>
    </row>
    <row r="183" spans="16366:16367">
      <c r="XEL183" s="35">
        <f t="shared" si="9"/>
        <v>0</v>
      </c>
      <c r="XEM183" s="35">
        <f t="shared" si="9"/>
        <v>0</v>
      </c>
    </row>
    <row r="184" spans="16366:16367">
      <c r="XEL184" s="35">
        <f t="shared" si="9"/>
        <v>0</v>
      </c>
      <c r="XEM184" s="35">
        <f t="shared" si="9"/>
        <v>0</v>
      </c>
    </row>
    <row r="185" spans="16366:16367">
      <c r="XEL185" s="35">
        <f t="shared" si="9"/>
        <v>0</v>
      </c>
      <c r="XEM185" s="35">
        <f t="shared" si="9"/>
        <v>0</v>
      </c>
    </row>
    <row r="186" spans="16366:16367">
      <c r="XEL186" s="35">
        <f t="shared" si="9"/>
        <v>0</v>
      </c>
      <c r="XEM186" s="35">
        <f t="shared" si="9"/>
        <v>0</v>
      </c>
    </row>
    <row r="187" spans="16366:16367">
      <c r="XEL187" s="35">
        <f t="shared" si="9"/>
        <v>0</v>
      </c>
      <c r="XEM187" s="35">
        <f t="shared" si="9"/>
        <v>0</v>
      </c>
    </row>
    <row r="188" spans="16366:16367">
      <c r="XEL188" s="35">
        <f t="shared" si="9"/>
        <v>0</v>
      </c>
      <c r="XEM188" s="35">
        <f t="shared" si="9"/>
        <v>0</v>
      </c>
    </row>
    <row r="189" spans="16366:16367">
      <c r="XEL189" s="35">
        <f t="shared" si="9"/>
        <v>0</v>
      </c>
      <c r="XEM189" s="35">
        <f t="shared" si="9"/>
        <v>0</v>
      </c>
    </row>
    <row r="190" spans="16366:16367">
      <c r="XEL190" s="35">
        <f t="shared" si="9"/>
        <v>0</v>
      </c>
      <c r="XEM190" s="35">
        <f t="shared" si="9"/>
        <v>0</v>
      </c>
    </row>
    <row r="191" spans="16366:16367">
      <c r="XEL191" s="35">
        <f t="shared" si="9"/>
        <v>0</v>
      </c>
      <c r="XEM191" s="35">
        <f t="shared" si="9"/>
        <v>0</v>
      </c>
    </row>
    <row r="192" spans="16366:16367">
      <c r="XEL192" s="35">
        <f t="shared" si="9"/>
        <v>0</v>
      </c>
      <c r="XEM192" s="35">
        <f t="shared" si="9"/>
        <v>0</v>
      </c>
    </row>
    <row r="193" spans="16366:16367">
      <c r="XEL193" s="35">
        <f t="shared" si="9"/>
        <v>0</v>
      </c>
      <c r="XEM193" s="35">
        <f t="shared" si="9"/>
        <v>0</v>
      </c>
    </row>
    <row r="194" spans="16366:16367">
      <c r="XEL194" s="35">
        <f t="shared" si="9"/>
        <v>0</v>
      </c>
      <c r="XEM194" s="35">
        <f t="shared" si="9"/>
        <v>0</v>
      </c>
    </row>
    <row r="195" spans="16366:16367">
      <c r="XEL195" s="35">
        <f t="shared" si="9"/>
        <v>0</v>
      </c>
      <c r="XEM195" s="35">
        <f t="shared" si="9"/>
        <v>0</v>
      </c>
    </row>
    <row r="196" spans="16366:16367">
      <c r="XEL196" s="35">
        <f t="shared" si="9"/>
        <v>0</v>
      </c>
      <c r="XEM196" s="35">
        <f t="shared" si="9"/>
        <v>0</v>
      </c>
    </row>
    <row r="197" spans="16366:16367">
      <c r="XEL197" s="35">
        <f t="shared" si="9"/>
        <v>0</v>
      </c>
      <c r="XEM197" s="35">
        <f t="shared" si="9"/>
        <v>0</v>
      </c>
    </row>
    <row r="198" spans="16366:16367">
      <c r="XEL198" s="35">
        <f t="shared" ref="XEL198:XEM209" si="10">B197</f>
        <v>0</v>
      </c>
      <c r="XEM198" s="35">
        <f t="shared" si="10"/>
        <v>0</v>
      </c>
    </row>
    <row r="199" spans="16366:16367">
      <c r="XEL199" s="35">
        <f t="shared" si="10"/>
        <v>0</v>
      </c>
      <c r="XEM199" s="35">
        <f t="shared" si="10"/>
        <v>0</v>
      </c>
    </row>
    <row r="200" spans="16366:16367">
      <c r="XEL200" s="35">
        <f t="shared" si="10"/>
        <v>0</v>
      </c>
      <c r="XEM200" s="35">
        <f t="shared" si="10"/>
        <v>0</v>
      </c>
    </row>
    <row r="201" spans="16366:16367">
      <c r="XEL201" s="35">
        <f t="shared" si="10"/>
        <v>0</v>
      </c>
      <c r="XEM201" s="35">
        <f t="shared" si="10"/>
        <v>0</v>
      </c>
    </row>
    <row r="202" spans="16366:16367">
      <c r="XEL202" s="35">
        <f t="shared" si="10"/>
        <v>0</v>
      </c>
      <c r="XEM202" s="35">
        <f t="shared" si="10"/>
        <v>0</v>
      </c>
    </row>
    <row r="203" spans="16366:16367">
      <c r="XEL203" s="35">
        <f t="shared" si="10"/>
        <v>0</v>
      </c>
      <c r="XEM203" s="35">
        <f t="shared" si="10"/>
        <v>0</v>
      </c>
    </row>
    <row r="204" spans="16366:16367">
      <c r="XEL204" s="35">
        <f t="shared" si="10"/>
        <v>0</v>
      </c>
      <c r="XEM204" s="35">
        <f t="shared" si="10"/>
        <v>0</v>
      </c>
    </row>
    <row r="205" spans="16366:16367">
      <c r="XEL205" s="35">
        <f t="shared" si="10"/>
        <v>0</v>
      </c>
      <c r="XEM205" s="35">
        <f t="shared" si="10"/>
        <v>0</v>
      </c>
    </row>
    <row r="206" spans="16366:16367">
      <c r="XEL206" s="35">
        <f t="shared" si="10"/>
        <v>0</v>
      </c>
      <c r="XEM206" s="35">
        <f t="shared" si="10"/>
        <v>0</v>
      </c>
    </row>
    <row r="207" spans="16366:16367">
      <c r="XEL207" s="35">
        <f t="shared" si="10"/>
        <v>0</v>
      </c>
      <c r="XEM207" s="35">
        <f t="shared" si="10"/>
        <v>0</v>
      </c>
    </row>
    <row r="208" spans="16366:16367">
      <c r="XEL208" s="35">
        <f t="shared" si="10"/>
        <v>0</v>
      </c>
      <c r="XEM208" s="35">
        <f t="shared" si="10"/>
        <v>0</v>
      </c>
    </row>
    <row r="209" spans="16366:16367">
      <c r="XEL209" s="35">
        <f t="shared" si="10"/>
        <v>0</v>
      </c>
      <c r="XEM209" s="35">
        <f t="shared" si="10"/>
        <v>0</v>
      </c>
    </row>
  </sheetData>
  <dataValidations count="5">
    <dataValidation type="list" allowBlank="1" showErrorMessage="1" sqref="C3:C8" xr:uid="{00000000-0002-0000-0100-000000000000}">
      <formula1>"Prospectus,Regulation"</formula1>
    </dataValidation>
    <dataValidation type="list" allowBlank="1" showInputMessage="1" showErrorMessage="1" sqref="XED7" xr:uid="{E8936A0B-1B6C-4913-85E6-F6CC539C75CB}">
      <formula1>Rule_Category__Level_1</formula1>
    </dataValidation>
    <dataValidation type="list" allowBlank="1" showInputMessage="1" showErrorMessage="1" sqref="XEQ7" xr:uid="{DFA7E6D9-CACE-47DA-9C92-3D352CEE1C15}">
      <formula1>_xlfn.ANCHORARRAY($XEP$2)</formula1>
    </dataValidation>
    <dataValidation type="list" allowBlank="1" showInputMessage="1" showErrorMessage="1" sqref="XEU4" xr:uid="{70FB023B-6D83-4BD9-8F51-C8C2F8F2BC19}">
      <formula1>OFFSET($XER$2,0,0,COUNTA(XER2:XER25) - COUNTIF(XER2:XER25, ""))</formula1>
    </dataValidation>
    <dataValidation type="list" allowBlank="1" showInputMessage="1" showErrorMessage="1" sqref="XEP8" xr:uid="{B5E2AFDE-9D3C-4E45-A995-63C0ECF7B34F}">
      <formula1>OFFSET($XEO$3,0,0,COUNTA($XEO$2:$XEO$1048576))</formula1>
    </dataValidation>
  </dataValidations>
  <hyperlinks>
    <hyperlink ref="G6" location="'List of Eligible Security Types'!A1" display="Compliance Rules" xr:uid="{00000000-0004-0000-0100-000000000000}"/>
  </hyperlinks>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7D0D67-03AA-497C-BE79-DBE356393D23}">
  <sheetPr codeName="Sheet15"/>
  <dimension ref="A1:AC124"/>
  <sheetViews>
    <sheetView zoomScale="46" zoomScaleNormal="55" workbookViewId="0">
      <selection activeCell="M68" sqref="M68"/>
    </sheetView>
  </sheetViews>
  <sheetFormatPr defaultRowHeight="13.2"/>
  <cols>
    <col min="1" max="1" width="42.44140625" customWidth="1"/>
    <col min="2" max="2" width="18.88671875" bestFit="1" customWidth="1"/>
    <col min="3" max="3" width="11.21875" bestFit="1" customWidth="1"/>
    <col min="4" max="4" width="11.109375" bestFit="1" customWidth="1"/>
    <col min="5" max="5" width="20" bestFit="1" customWidth="1"/>
    <col min="6" max="6" width="13.109375" bestFit="1" customWidth="1"/>
    <col min="7" max="7" width="14.33203125" bestFit="1" customWidth="1"/>
    <col min="8" max="8" width="14.109375" bestFit="1" customWidth="1"/>
    <col min="9" max="9" width="32.44140625" bestFit="1" customWidth="1"/>
    <col min="10" max="10" width="20" bestFit="1" customWidth="1"/>
    <col min="11" max="11" width="18.21875" bestFit="1" customWidth="1"/>
    <col min="12" max="12" width="17.6640625" customWidth="1"/>
    <col min="13" max="13" width="19.44140625" bestFit="1" customWidth="1"/>
    <col min="14" max="14" width="28.33203125" bestFit="1" customWidth="1"/>
    <col min="15" max="15" width="25.33203125" bestFit="1" customWidth="1"/>
    <col min="16" max="16" width="25.33203125" customWidth="1"/>
    <col min="17" max="17" width="23" bestFit="1" customWidth="1"/>
    <col min="18" max="18" width="28.88671875" bestFit="1" customWidth="1"/>
    <col min="19" max="19" width="25.5546875" customWidth="1"/>
    <col min="23" max="23" width="21" customWidth="1"/>
    <col min="24" max="24" width="25.5546875" bestFit="1" customWidth="1"/>
    <col min="25" max="25" width="22.21875" bestFit="1" customWidth="1"/>
    <col min="26" max="26" width="20.5546875" bestFit="1" customWidth="1"/>
    <col min="27" max="27" width="12.44140625" bestFit="1" customWidth="1"/>
    <col min="28" max="28" width="10.88671875" customWidth="1"/>
    <col min="29" max="29" width="21.6640625" bestFit="1" customWidth="1"/>
  </cols>
  <sheetData>
    <row r="1" spans="1:29" ht="14.4">
      <c r="A1" s="174"/>
      <c r="F1" s="85"/>
      <c r="G1">
        <v>616409344.72084999</v>
      </c>
    </row>
    <row r="2" spans="1:29">
      <c r="A2" s="174"/>
    </row>
    <row r="3" spans="1:29">
      <c r="A3" s="174"/>
      <c r="E3" t="s">
        <v>307</v>
      </c>
      <c r="G3" s="82"/>
      <c r="I3" s="66" t="s">
        <v>65</v>
      </c>
      <c r="J3" t="s">
        <v>306</v>
      </c>
      <c r="K3" s="77" t="s">
        <v>8</v>
      </c>
      <c r="L3" s="77" t="s">
        <v>7</v>
      </c>
    </row>
    <row r="4" spans="1:29">
      <c r="A4" s="174"/>
      <c r="E4" s="129">
        <f>D4/$G$1</f>
        <v>0</v>
      </c>
      <c r="G4" s="86">
        <f>SUM(D4:D7)</f>
        <v>0</v>
      </c>
      <c r="I4" t="s">
        <v>44</v>
      </c>
      <c r="J4" s="82">
        <v>3.5412516759660342</v>
      </c>
      <c r="K4" s="34"/>
      <c r="L4" s="34"/>
      <c r="S4" t="s">
        <v>298</v>
      </c>
      <c r="T4" t="s">
        <v>343</v>
      </c>
      <c r="U4" t="s">
        <v>344</v>
      </c>
      <c r="V4" t="s">
        <v>345</v>
      </c>
      <c r="W4" t="s">
        <v>346</v>
      </c>
      <c r="X4" t="s">
        <v>347</v>
      </c>
      <c r="Z4" s="82"/>
      <c r="AB4" s="129"/>
      <c r="AC4" s="87"/>
    </row>
    <row r="5" spans="1:29">
      <c r="A5" s="174"/>
      <c r="E5" s="129">
        <f t="shared" ref="E5:E68" si="0">D5/$G$1</f>
        <v>0</v>
      </c>
      <c r="I5" t="s">
        <v>105</v>
      </c>
      <c r="J5" s="82">
        <v>74.230634726164297</v>
      </c>
      <c r="K5" s="34"/>
      <c r="L5" s="34"/>
      <c r="U5" t="str" cm="1">
        <f t="array" ref="U5:U6">_xlfn.UNIQUE(R32:R37)</f>
        <v/>
      </c>
      <c r="V5" t="str" cm="1">
        <f t="array" ref="V5">_xlfn.UNIQUE(Q17:Q26)</f>
        <v/>
      </c>
      <c r="W5" t="str" cm="1">
        <f t="array" ref="W5:W8">_xlfn.UNIQUE(N91:N105)</f>
        <v/>
      </c>
      <c r="X5" t="str" cm="1">
        <f t="array" ref="X5:X10">IF(_xlfn.UNIQUE(O56:O90)&lt;&gt;"",_xlfn.UNIQUE(O56:O90),"")</f>
        <v/>
      </c>
      <c r="Z5" s="82"/>
      <c r="AB5" s="129"/>
      <c r="AC5" s="87"/>
    </row>
    <row r="6" spans="1:29">
      <c r="A6" s="174"/>
      <c r="E6" s="129">
        <f t="shared" si="0"/>
        <v>0</v>
      </c>
      <c r="G6" s="82">
        <f>SUM(C33:C35)-ABS(C32)</f>
        <v>0.71530190629765</v>
      </c>
      <c r="I6" t="s">
        <v>125</v>
      </c>
      <c r="J6" s="82">
        <v>18.824281127458061</v>
      </c>
      <c r="K6" s="34"/>
      <c r="L6" s="34"/>
      <c r="N6" s="133" t="s">
        <v>321</v>
      </c>
      <c r="O6" s="134" t="s">
        <v>8</v>
      </c>
      <c r="P6" s="135" t="s">
        <v>7</v>
      </c>
      <c r="U6">
        <v>0</v>
      </c>
      <c r="W6" t="str">
        <v>Commodity Future</v>
      </c>
      <c r="X6" t="str">
        <v>Sams Electronics Ltd</v>
      </c>
      <c r="Z6" s="82"/>
      <c r="AB6" s="129"/>
      <c r="AC6" s="87"/>
    </row>
    <row r="7" spans="1:29">
      <c r="A7" s="174"/>
      <c r="E7" s="129">
        <f t="shared" si="0"/>
        <v>0</v>
      </c>
      <c r="G7" s="86">
        <f>G6/G1</f>
        <v>1.1604332614742968E-9</v>
      </c>
      <c r="I7" t="s">
        <v>192</v>
      </c>
      <c r="J7" s="82">
        <v>1.6222985725283456E-5</v>
      </c>
      <c r="K7" s="34"/>
      <c r="L7" s="34"/>
      <c r="N7" s="136" t="s">
        <v>322</v>
      </c>
      <c r="O7" s="137" t="str">
        <f>IF(K44="Exceeds Hard Limit", "Breached", "Not Breached")</f>
        <v>Breached</v>
      </c>
      <c r="P7" s="138" t="str">
        <f>IF(L44="Exceeds Hard Limit", "Breached", "Not Breached")</f>
        <v>Not Breached</v>
      </c>
      <c r="W7" t="str">
        <v>Bank Loan</v>
      </c>
      <c r="X7" t="str">
        <v>SpectraLogic Systems Inc.</v>
      </c>
      <c r="Z7" s="82"/>
      <c r="AB7" s="129"/>
      <c r="AC7" s="87"/>
    </row>
    <row r="8" spans="1:29">
      <c r="A8" s="174"/>
      <c r="E8" s="129">
        <f t="shared" si="0"/>
        <v>0</v>
      </c>
      <c r="I8" t="s">
        <v>248</v>
      </c>
      <c r="J8" s="82">
        <v>0.29438856104350064</v>
      </c>
      <c r="K8" s="34"/>
      <c r="L8" s="34"/>
      <c r="N8" s="139" t="s">
        <v>323</v>
      </c>
      <c r="O8" s="140" t="str">
        <f>P37</f>
        <v>Not Breached</v>
      </c>
      <c r="P8" s="141" t="str">
        <f>Q37</f>
        <v>Not Breached</v>
      </c>
      <c r="W8" t="str">
        <v>Cash Balance</v>
      </c>
      <c r="X8" t="str">
        <v>TerraNex Solutions LLC</v>
      </c>
      <c r="Y8" s="122"/>
      <c r="Z8" s="122"/>
      <c r="AB8" s="129"/>
      <c r="AC8" s="87"/>
    </row>
    <row r="9" spans="1:29">
      <c r="A9" s="174"/>
      <c r="E9" s="129">
        <f t="shared" si="0"/>
        <v>0</v>
      </c>
      <c r="I9" t="s">
        <v>164</v>
      </c>
      <c r="J9" s="82">
        <v>4.0791705619319432</v>
      </c>
      <c r="K9" s="34"/>
      <c r="L9" s="34"/>
      <c r="N9" s="136" t="s">
        <v>324</v>
      </c>
      <c r="O9" s="137" t="str">
        <f>O26</f>
        <v>Not Breached</v>
      </c>
      <c r="P9" s="138" t="str">
        <f>P26</f>
        <v>Not Breached</v>
      </c>
      <c r="X9" t="str">
        <v>Zenith Core Innovations Ltd</v>
      </c>
      <c r="AB9" s="129"/>
      <c r="AC9" s="87"/>
    </row>
    <row r="10" spans="1:29">
      <c r="A10" s="174"/>
      <c r="E10" s="129">
        <f t="shared" si="0"/>
        <v>0</v>
      </c>
      <c r="I10" t="s">
        <v>147</v>
      </c>
      <c r="J10" s="82">
        <v>0.96971042619561632</v>
      </c>
      <c r="K10" s="34"/>
      <c r="L10" s="34"/>
      <c r="N10" s="142" t="s">
        <v>325</v>
      </c>
      <c r="O10" s="211" t="str">
        <f>P91</f>
        <v>5/10/40 Rule is Breached</v>
      </c>
      <c r="P10" s="212"/>
      <c r="X10" t="str">
        <v/>
      </c>
      <c r="Z10" s="82"/>
      <c r="AB10" s="129"/>
      <c r="AC10" s="87"/>
    </row>
    <row r="11" spans="1:29">
      <c r="A11" s="174"/>
      <c r="E11" s="129">
        <f t="shared" si="0"/>
        <v>0</v>
      </c>
      <c r="I11" t="s">
        <v>271</v>
      </c>
      <c r="J11" s="82">
        <v>100.00000000338245</v>
      </c>
      <c r="Z11" s="82"/>
      <c r="AB11" s="129"/>
      <c r="AC11" s="87"/>
    </row>
    <row r="12" spans="1:29">
      <c r="A12" s="174"/>
      <c r="E12" s="129">
        <f t="shared" si="0"/>
        <v>0</v>
      </c>
      <c r="Z12" s="82"/>
      <c r="AB12" s="129"/>
      <c r="AC12" s="87"/>
    </row>
    <row r="13" spans="1:29">
      <c r="A13" s="174"/>
      <c r="E13" s="129">
        <f t="shared" si="0"/>
        <v>0</v>
      </c>
      <c r="Z13" s="82"/>
      <c r="AB13" s="129"/>
      <c r="AC13" s="87"/>
    </row>
    <row r="14" spans="1:29">
      <c r="A14" s="174"/>
      <c r="E14" s="129">
        <f t="shared" si="0"/>
        <v>0</v>
      </c>
      <c r="I14" s="83" t="s">
        <v>318</v>
      </c>
      <c r="Z14" s="82"/>
      <c r="AB14" s="129"/>
      <c r="AC14" s="87"/>
    </row>
    <row r="15" spans="1:29">
      <c r="A15" s="174"/>
      <c r="E15" s="129">
        <f t="shared" si="0"/>
        <v>0</v>
      </c>
      <c r="Z15" s="82"/>
      <c r="AB15" s="129"/>
      <c r="AC15" s="87"/>
    </row>
    <row r="16" spans="1:29">
      <c r="A16" s="174"/>
      <c r="E16" s="129">
        <f t="shared" si="0"/>
        <v>0</v>
      </c>
      <c r="I16" s="66" t="s">
        <v>55</v>
      </c>
      <c r="J16" t="s">
        <v>306</v>
      </c>
      <c r="K16" s="77" t="s">
        <v>8</v>
      </c>
      <c r="L16" s="77" t="s">
        <v>7</v>
      </c>
      <c r="O16" s="77" t="s">
        <v>8</v>
      </c>
      <c r="P16" s="77" t="s">
        <v>7</v>
      </c>
      <c r="Q16" s="123" t="s">
        <v>328</v>
      </c>
      <c r="R16" s="165" t="s">
        <v>348</v>
      </c>
      <c r="S16" s="165" t="s">
        <v>349</v>
      </c>
      <c r="Z16" s="82"/>
      <c r="AB16" s="129"/>
      <c r="AC16" s="87"/>
    </row>
    <row r="17" spans="1:29">
      <c r="A17" s="174"/>
      <c r="E17" s="129">
        <f t="shared" si="0"/>
        <v>0</v>
      </c>
      <c r="I17" t="s">
        <v>160</v>
      </c>
      <c r="J17" s="82">
        <v>4.703539244949412</v>
      </c>
      <c r="K17" s="34" t="str">
        <f>IF(J17&gt;10, "Exceeds Hard Limit", "Within Limit")</f>
        <v>Within Limit</v>
      </c>
      <c r="L17" s="34" t="str">
        <f>IF(J17&gt;10, "Exceeds Hard Limit", "Within Limit")</f>
        <v>Within Limit</v>
      </c>
      <c r="O17" t="str">
        <f t="shared" ref="O17:O25" si="1">IF(K17="Within Limit","1","0")</f>
        <v>1</v>
      </c>
      <c r="P17" t="str">
        <f t="shared" ref="P17:P25" si="2">IF(L17="Within Limit","1","0")</f>
        <v>1</v>
      </c>
      <c r="Q17" t="str">
        <f>IF(O17=0,I17,"")</f>
        <v/>
      </c>
      <c r="R17" s="34" t="str">
        <f>IF(P17=0,I17,"")</f>
        <v/>
      </c>
      <c r="S17" s="34" t="str" cm="1">
        <f t="array" ref="S17">_xlfn.UNIQUE(R17:R25)</f>
        <v/>
      </c>
      <c r="Z17" s="82"/>
      <c r="AB17" s="129"/>
      <c r="AC17" s="87"/>
    </row>
    <row r="18" spans="1:29">
      <c r="A18" s="174"/>
      <c r="E18" s="129">
        <f t="shared" si="0"/>
        <v>0</v>
      </c>
      <c r="I18" t="s">
        <v>217</v>
      </c>
      <c r="J18" s="82">
        <v>0.29255251587362902</v>
      </c>
      <c r="K18" s="34" t="str">
        <f t="shared" ref="K18:K26" si="3">IF(J18&gt;10, "Exceeds Hard Limit", "Within Limit")</f>
        <v>Within Limit</v>
      </c>
      <c r="L18" s="34" t="str">
        <f t="shared" ref="L18:L26" si="4">IF(J18&gt;10, "Exceeds Hard Limit", "Within Limit")</f>
        <v>Within Limit</v>
      </c>
      <c r="O18" t="str">
        <f t="shared" si="1"/>
        <v>1</v>
      </c>
      <c r="P18" t="str">
        <f t="shared" si="2"/>
        <v>1</v>
      </c>
      <c r="Q18" t="str">
        <f t="shared" ref="Q18:Q25" si="5">IF(O18=0,I18,"")</f>
        <v/>
      </c>
      <c r="R18" s="34" t="str">
        <f t="shared" ref="R18:R25" si="6">IF(P18=0,I18,"")</f>
        <v/>
      </c>
      <c r="S18" s="34"/>
      <c r="AB18" s="129"/>
      <c r="AC18" s="87"/>
    </row>
    <row r="19" spans="1:29">
      <c r="A19" s="174"/>
      <c r="E19" s="129">
        <f t="shared" si="0"/>
        <v>0</v>
      </c>
      <c r="I19" t="s">
        <v>230</v>
      </c>
      <c r="J19" s="82">
        <v>4.6467423881998782</v>
      </c>
      <c r="K19" s="34" t="str">
        <f t="shared" si="3"/>
        <v>Within Limit</v>
      </c>
      <c r="L19" s="34" t="str">
        <f t="shared" si="4"/>
        <v>Within Limit</v>
      </c>
      <c r="O19" t="str">
        <f t="shared" si="1"/>
        <v>1</v>
      </c>
      <c r="P19" t="str">
        <f t="shared" si="2"/>
        <v>1</v>
      </c>
      <c r="Q19" t="str">
        <f t="shared" si="5"/>
        <v/>
      </c>
      <c r="R19" s="34" t="str">
        <f t="shared" si="6"/>
        <v/>
      </c>
      <c r="S19" s="34"/>
      <c r="Z19" s="82"/>
      <c r="AB19" s="129"/>
      <c r="AC19" s="87"/>
    </row>
    <row r="20" spans="1:29">
      <c r="A20" s="174"/>
      <c r="E20" s="129">
        <f t="shared" si="0"/>
        <v>0</v>
      </c>
      <c r="I20" t="s">
        <v>221</v>
      </c>
      <c r="J20" s="82">
        <v>0.2570296990745799</v>
      </c>
      <c r="K20" s="34" t="str">
        <f t="shared" si="3"/>
        <v>Within Limit</v>
      </c>
      <c r="L20" s="34" t="str">
        <f t="shared" si="4"/>
        <v>Within Limit</v>
      </c>
      <c r="O20" t="str">
        <f t="shared" si="1"/>
        <v>1</v>
      </c>
      <c r="P20" t="str">
        <f t="shared" si="2"/>
        <v>1</v>
      </c>
      <c r="Q20" t="str">
        <f t="shared" si="5"/>
        <v/>
      </c>
      <c r="R20" s="34" t="str">
        <f t="shared" si="6"/>
        <v/>
      </c>
      <c r="S20" s="34"/>
      <c r="Z20" s="82"/>
      <c r="AB20" s="129"/>
      <c r="AC20" s="87"/>
    </row>
    <row r="21" spans="1:29">
      <c r="A21" s="174"/>
      <c r="E21" s="129">
        <f t="shared" si="0"/>
        <v>0</v>
      </c>
      <c r="I21" t="s">
        <v>151</v>
      </c>
      <c r="J21" s="82">
        <v>4.5956199141151659</v>
      </c>
      <c r="K21" s="34" t="str">
        <f t="shared" si="3"/>
        <v>Within Limit</v>
      </c>
      <c r="L21" s="34" t="str">
        <f t="shared" si="4"/>
        <v>Within Limit</v>
      </c>
      <c r="O21" t="str">
        <f t="shared" si="1"/>
        <v>1</v>
      </c>
      <c r="P21" t="str">
        <f t="shared" si="2"/>
        <v>1</v>
      </c>
      <c r="Q21" t="str">
        <f t="shared" si="5"/>
        <v/>
      </c>
      <c r="R21" s="34" t="str">
        <f t="shared" si="6"/>
        <v/>
      </c>
      <c r="S21" s="34"/>
      <c r="Z21" s="82"/>
      <c r="AB21" s="129"/>
      <c r="AC21" s="87"/>
    </row>
    <row r="22" spans="1:29">
      <c r="A22" s="174"/>
      <c r="E22" s="129">
        <f t="shared" si="0"/>
        <v>0</v>
      </c>
      <c r="I22" t="s">
        <v>227</v>
      </c>
      <c r="J22" s="82">
        <v>2.7396472291832215</v>
      </c>
      <c r="K22" s="34" t="str">
        <f t="shared" si="3"/>
        <v>Within Limit</v>
      </c>
      <c r="L22" s="34" t="str">
        <f t="shared" si="4"/>
        <v>Within Limit</v>
      </c>
      <c r="O22" t="str">
        <f t="shared" si="1"/>
        <v>1</v>
      </c>
      <c r="P22" t="str">
        <f t="shared" si="2"/>
        <v>1</v>
      </c>
      <c r="Q22" t="str">
        <f t="shared" si="5"/>
        <v/>
      </c>
      <c r="R22" s="34" t="str">
        <f t="shared" si="6"/>
        <v/>
      </c>
      <c r="S22" s="34"/>
      <c r="AB22" s="129"/>
      <c r="AC22" s="87"/>
    </row>
    <row r="23" spans="1:29">
      <c r="A23" s="174"/>
      <c r="E23" s="129">
        <f t="shared" si="0"/>
        <v>0</v>
      </c>
      <c r="I23" t="s">
        <v>131</v>
      </c>
      <c r="J23" s="82">
        <v>3.9366324640665362</v>
      </c>
      <c r="K23" s="34" t="str">
        <f t="shared" si="3"/>
        <v>Within Limit</v>
      </c>
      <c r="L23" s="34" t="str">
        <f t="shared" si="4"/>
        <v>Within Limit</v>
      </c>
      <c r="O23" t="str">
        <f t="shared" si="1"/>
        <v>1</v>
      </c>
      <c r="P23" t="str">
        <f t="shared" si="2"/>
        <v>1</v>
      </c>
      <c r="Q23" t="str">
        <f t="shared" si="5"/>
        <v/>
      </c>
      <c r="R23" s="34" t="str">
        <f t="shared" si="6"/>
        <v/>
      </c>
      <c r="S23" s="34"/>
      <c r="Z23" s="82"/>
      <c r="AB23" s="129"/>
      <c r="AC23" s="87"/>
    </row>
    <row r="24" spans="1:29">
      <c r="A24" s="174"/>
      <c r="E24" s="129">
        <f t="shared" si="0"/>
        <v>0</v>
      </c>
      <c r="I24" t="s">
        <v>206</v>
      </c>
      <c r="J24" s="82">
        <v>3.3517198948460392</v>
      </c>
      <c r="K24" s="34" t="str">
        <f t="shared" si="3"/>
        <v>Within Limit</v>
      </c>
      <c r="L24" s="34" t="str">
        <f t="shared" si="4"/>
        <v>Within Limit</v>
      </c>
      <c r="O24" t="str">
        <f t="shared" si="1"/>
        <v>1</v>
      </c>
      <c r="P24" t="str">
        <f t="shared" si="2"/>
        <v>1</v>
      </c>
      <c r="Q24" t="str">
        <f t="shared" si="5"/>
        <v/>
      </c>
      <c r="R24" s="34" t="str">
        <f t="shared" si="6"/>
        <v/>
      </c>
      <c r="S24" s="34"/>
      <c r="AB24" s="129"/>
      <c r="AC24" s="87"/>
    </row>
    <row r="25" spans="1:29">
      <c r="A25" s="174"/>
      <c r="E25" s="129">
        <f t="shared" si="0"/>
        <v>0</v>
      </c>
      <c r="I25" t="s">
        <v>124</v>
      </c>
      <c r="J25" s="82">
        <v>3.7735582506979477</v>
      </c>
      <c r="K25" s="34" t="str">
        <f t="shared" si="3"/>
        <v>Within Limit</v>
      </c>
      <c r="L25" s="34" t="str">
        <f t="shared" si="4"/>
        <v>Within Limit</v>
      </c>
      <c r="O25" t="str">
        <f t="shared" si="1"/>
        <v>1</v>
      </c>
      <c r="P25" t="str">
        <f t="shared" si="2"/>
        <v>1</v>
      </c>
      <c r="Q25" t="str">
        <f t="shared" si="5"/>
        <v/>
      </c>
      <c r="R25" s="34" t="str">
        <f t="shared" si="6"/>
        <v/>
      </c>
      <c r="S25" s="34"/>
      <c r="Z25" s="82"/>
      <c r="AB25" s="129"/>
      <c r="AC25" s="87"/>
    </row>
    <row r="26" spans="1:29">
      <c r="A26" s="174"/>
      <c r="E26" s="129">
        <f t="shared" si="0"/>
        <v>0</v>
      </c>
      <c r="I26" t="s">
        <v>225</v>
      </c>
      <c r="J26" s="82">
        <v>5.1977738130484248</v>
      </c>
      <c r="K26" s="34" t="str">
        <f t="shared" si="3"/>
        <v>Within Limit</v>
      </c>
      <c r="L26" s="34" t="str">
        <f t="shared" si="4"/>
        <v>Within Limit</v>
      </c>
      <c r="O26" t="str">
        <f>IF(PRODUCT(O17:O25)=0,"Not Breached", "Breached")</f>
        <v>Not Breached</v>
      </c>
      <c r="P26" t="str">
        <f>IF(PRODUCT(P17:P25)=0,"Not Breached", "Breached")</f>
        <v>Not Breached</v>
      </c>
      <c r="Q26" t="str">
        <f>IF(O26=0,I26,"")</f>
        <v/>
      </c>
      <c r="Z26" s="82"/>
      <c r="AB26" s="129"/>
      <c r="AC26" s="87"/>
    </row>
    <row r="27" spans="1:29">
      <c r="A27" s="174"/>
      <c r="E27" s="129">
        <f t="shared" si="0"/>
        <v>0</v>
      </c>
      <c r="I27" t="s">
        <v>271</v>
      </c>
      <c r="J27" s="82">
        <v>18.824281127458057</v>
      </c>
      <c r="K27" s="34"/>
      <c r="L27" s="34"/>
      <c r="U27" s="83"/>
      <c r="Z27" s="82"/>
      <c r="AB27" s="129"/>
      <c r="AC27" s="87"/>
    </row>
    <row r="28" spans="1:29">
      <c r="A28" s="174"/>
      <c r="E28" s="129">
        <f t="shared" si="0"/>
        <v>0</v>
      </c>
      <c r="AB28" s="129"/>
      <c r="AC28" s="87"/>
    </row>
    <row r="29" spans="1:29">
      <c r="E29" s="129">
        <f t="shared" si="0"/>
        <v>0</v>
      </c>
      <c r="AB29" s="129"/>
      <c r="AC29" s="87"/>
    </row>
    <row r="30" spans="1:29">
      <c r="E30" s="129">
        <f t="shared" si="0"/>
        <v>0</v>
      </c>
      <c r="I30" s="83" t="s">
        <v>317</v>
      </c>
      <c r="Z30" s="82"/>
      <c r="AB30" s="129"/>
      <c r="AC30" s="87"/>
    </row>
    <row r="31" spans="1:29">
      <c r="A31" s="66" t="s">
        <v>65</v>
      </c>
      <c r="B31" s="66" t="s">
        <v>32</v>
      </c>
      <c r="C31" t="s">
        <v>308</v>
      </c>
      <c r="E31" s="129">
        <f t="shared" si="0"/>
        <v>0</v>
      </c>
      <c r="N31" s="132" t="s">
        <v>316</v>
      </c>
      <c r="P31" s="83" t="s">
        <v>8</v>
      </c>
      <c r="Q31" s="83" t="s">
        <v>7</v>
      </c>
      <c r="R31" s="83" t="s">
        <v>329</v>
      </c>
      <c r="S31" s="81" t="s">
        <v>350</v>
      </c>
      <c r="Z31" s="82"/>
      <c r="AB31" s="129"/>
      <c r="AC31" s="87"/>
    </row>
    <row r="32" spans="1:29">
      <c r="A32" t="s">
        <v>44</v>
      </c>
      <c r="B32" t="s">
        <v>242</v>
      </c>
      <c r="C32" s="76">
        <v>8.729368410554417E-4</v>
      </c>
      <c r="E32" s="129">
        <f t="shared" si="0"/>
        <v>0</v>
      </c>
      <c r="I32" s="66" t="s">
        <v>59</v>
      </c>
      <c r="J32" t="s">
        <v>306</v>
      </c>
      <c r="K32" s="123" t="s">
        <v>8</v>
      </c>
      <c r="L32" s="123" t="s">
        <v>7</v>
      </c>
      <c r="N32" s="34" t="str">
        <f>IF(M33=0,I33,"")</f>
        <v/>
      </c>
      <c r="P32" s="83" t="str">
        <f t="shared" ref="P32:Q35" si="7">IF(K33="Within Limit","1","0")</f>
        <v>1</v>
      </c>
      <c r="Q32" s="83" t="str">
        <f t="shared" si="7"/>
        <v>1</v>
      </c>
      <c r="R32" t="str">
        <f>IF(P32=0,I33,"")</f>
        <v/>
      </c>
      <c r="S32" s="34" t="str">
        <f>IF(Q32=0,I33,"")</f>
        <v/>
      </c>
      <c r="AB32" s="129"/>
      <c r="AC32" s="87"/>
    </row>
    <row r="33" spans="1:29">
      <c r="A33" t="s">
        <v>281</v>
      </c>
      <c r="C33" s="76">
        <v>8.729368410554417E-4</v>
      </c>
      <c r="E33" s="129">
        <f t="shared" si="0"/>
        <v>0</v>
      </c>
      <c r="I33" t="s">
        <v>239</v>
      </c>
      <c r="J33" s="82">
        <v>5.0695062086069637E-2</v>
      </c>
      <c r="K33" s="34" t="str">
        <f>IF(J33&gt;10, "Exceeds Hard Limit", "Within Limit")</f>
        <v>Within Limit</v>
      </c>
      <c r="L33" s="34" t="str">
        <f>IF(J33&gt;10, "Exceeds Hard Limit", "Within Limit")</f>
        <v>Within Limit</v>
      </c>
      <c r="M33" t="str">
        <f>IF(K33="Exceeds Limit","0","1")</f>
        <v>1</v>
      </c>
      <c r="N33" s="34" t="str">
        <f>IF(M34=0,I34,"")</f>
        <v/>
      </c>
      <c r="P33" s="83" t="str">
        <f t="shared" si="7"/>
        <v>1</v>
      </c>
      <c r="Q33" s="83" t="str">
        <f t="shared" si="7"/>
        <v>1</v>
      </c>
      <c r="R33" t="str">
        <f t="shared" ref="R33:R34" si="8">IF(P33=0,I34,"")</f>
        <v/>
      </c>
      <c r="S33" s="34" t="str">
        <f t="shared" ref="S33:S35" si="9">IF(Q33=0,I34,"")</f>
        <v/>
      </c>
      <c r="Z33" s="82"/>
      <c r="AB33" s="129"/>
      <c r="AC33" s="87"/>
    </row>
    <row r="34" spans="1:29">
      <c r="A34" t="s">
        <v>105</v>
      </c>
      <c r="B34" t="s">
        <v>33</v>
      </c>
      <c r="C34" s="76">
        <v>0.44778386432990203</v>
      </c>
      <c r="E34" s="129">
        <f t="shared" si="0"/>
        <v>0</v>
      </c>
      <c r="I34" t="s">
        <v>146</v>
      </c>
      <c r="J34" s="82">
        <v>1.9438381496035745E-2</v>
      </c>
      <c r="K34" s="34" t="str">
        <f t="shared" ref="K34:K36" si="10">IF(J34&gt;10, "Exceeds Hard Limit", "Within Limit")</f>
        <v>Within Limit</v>
      </c>
      <c r="L34" s="34" t="str">
        <f t="shared" ref="L34:L36" si="11">IF(J34&gt;10, "Exceeds Hard Limit", "Within Limit")</f>
        <v>Within Limit</v>
      </c>
      <c r="M34" t="str">
        <f t="shared" ref="M34:M36" si="12">IF(K34="Exceeds Limit","0","1")</f>
        <v>1</v>
      </c>
      <c r="N34" s="34" t="str">
        <f>IF(M35=0,I35,"")</f>
        <v/>
      </c>
      <c r="P34" s="83" t="str">
        <f t="shared" si="7"/>
        <v>1</v>
      </c>
      <c r="Q34" s="83" t="str">
        <f t="shared" si="7"/>
        <v>1</v>
      </c>
      <c r="R34" t="str">
        <f t="shared" si="8"/>
        <v/>
      </c>
      <c r="S34" s="34" t="str">
        <f t="shared" si="9"/>
        <v/>
      </c>
      <c r="Z34" s="82"/>
      <c r="AB34" s="129"/>
      <c r="AC34" s="87"/>
    </row>
    <row r="35" spans="1:29">
      <c r="B35" t="s">
        <v>34</v>
      </c>
      <c r="C35" s="76">
        <v>0.26751804196774803</v>
      </c>
      <c r="E35" s="129">
        <f t="shared" si="0"/>
        <v>0</v>
      </c>
      <c r="I35" t="s">
        <v>202</v>
      </c>
      <c r="J35" s="82">
        <v>4.8630402844702353E-2</v>
      </c>
      <c r="K35" s="34" t="str">
        <f t="shared" si="10"/>
        <v>Within Limit</v>
      </c>
      <c r="L35" s="34" t="str">
        <f t="shared" si="11"/>
        <v>Within Limit</v>
      </c>
      <c r="M35" t="str">
        <f t="shared" si="12"/>
        <v>1</v>
      </c>
      <c r="N35" s="34" t="str">
        <f>IF(M36=0,I36,"")</f>
        <v/>
      </c>
      <c r="P35" s="83" t="str">
        <f t="shared" si="7"/>
        <v>1</v>
      </c>
      <c r="Q35" s="83" t="str">
        <f t="shared" si="7"/>
        <v>1</v>
      </c>
      <c r="R35" t="str">
        <f>IF(P35=0,I36,"")</f>
        <v/>
      </c>
      <c r="S35" s="34" t="str">
        <f t="shared" si="9"/>
        <v/>
      </c>
      <c r="Z35" s="82"/>
      <c r="AB35" s="129"/>
      <c r="AC35" s="87"/>
    </row>
    <row r="36" spans="1:29">
      <c r="B36" t="s">
        <v>36</v>
      </c>
      <c r="C36" s="76">
        <v>1.0147890777269511E-3</v>
      </c>
      <c r="E36" s="129">
        <f t="shared" si="0"/>
        <v>0</v>
      </c>
      <c r="I36" t="s">
        <v>157</v>
      </c>
      <c r="J36" s="82">
        <v>1.0495975096303525</v>
      </c>
      <c r="K36" s="34" t="str">
        <f t="shared" si="10"/>
        <v>Within Limit</v>
      </c>
      <c r="L36" s="34" t="str">
        <f t="shared" si="11"/>
        <v>Within Limit</v>
      </c>
      <c r="M36" t="str">
        <f t="shared" si="12"/>
        <v>1</v>
      </c>
      <c r="Z36" s="82"/>
      <c r="AB36" s="129"/>
      <c r="AC36" s="87"/>
    </row>
    <row r="37" spans="1:29">
      <c r="B37" t="s">
        <v>35</v>
      </c>
      <c r="C37" s="76">
        <v>2.217259576280822E-4</v>
      </c>
      <c r="E37" s="129">
        <f t="shared" si="0"/>
        <v>0</v>
      </c>
      <c r="I37" t="s">
        <v>271</v>
      </c>
      <c r="J37" s="82">
        <v>0.96971042619561632</v>
      </c>
      <c r="P37" t="str">
        <f>IF(PRODUCT(P32:P35)=0,"Not Breached", "Breached")</f>
        <v>Not Breached</v>
      </c>
      <c r="Q37" t="str">
        <f>IF(PRODUCT(Q32:Q35)=0,"Not Breached", "Breached")</f>
        <v>Not Breached</v>
      </c>
      <c r="Z37" s="82"/>
      <c r="AB37" s="129"/>
      <c r="AC37" s="87"/>
    </row>
    <row r="38" spans="1:29">
      <c r="A38" t="s">
        <v>283</v>
      </c>
      <c r="C38" s="76">
        <v>0.71653842133300516</v>
      </c>
      <c r="E38" s="129">
        <f t="shared" si="0"/>
        <v>0</v>
      </c>
      <c r="Z38" s="82"/>
      <c r="AB38" s="129"/>
      <c r="AC38" s="87"/>
    </row>
    <row r="39" spans="1:29">
      <c r="A39" t="s">
        <v>125</v>
      </c>
      <c r="B39" t="s">
        <v>218</v>
      </c>
      <c r="C39" s="76">
        <v>4.3581371789692923E-2</v>
      </c>
      <c r="E39" s="129">
        <f t="shared" si="0"/>
        <v>0</v>
      </c>
      <c r="AB39" s="129"/>
      <c r="AC39" s="87"/>
    </row>
    <row r="40" spans="1:29">
      <c r="B40" t="s">
        <v>126</v>
      </c>
      <c r="C40" s="76">
        <v>0.13611704162577504</v>
      </c>
      <c r="E40" s="129">
        <f t="shared" si="0"/>
        <v>0</v>
      </c>
      <c r="Z40" s="82"/>
      <c r="AB40" s="129"/>
      <c r="AC40" s="87"/>
    </row>
    <row r="41" spans="1:29">
      <c r="B41" t="s">
        <v>132</v>
      </c>
      <c r="C41" s="76">
        <v>4.2481471369963067E-2</v>
      </c>
      <c r="E41" s="129">
        <f t="shared" si="0"/>
        <v>0</v>
      </c>
      <c r="I41" s="83" t="s">
        <v>320</v>
      </c>
      <c r="Z41" s="82"/>
      <c r="AB41" s="129"/>
      <c r="AC41" s="87"/>
    </row>
    <row r="42" spans="1:29">
      <c r="A42" t="s">
        <v>284</v>
      </c>
      <c r="C42" s="76">
        <v>0.22217988478543099</v>
      </c>
      <c r="E42" s="129">
        <f t="shared" si="0"/>
        <v>0</v>
      </c>
      <c r="AB42" s="129"/>
      <c r="AC42" s="87"/>
    </row>
    <row r="43" spans="1:29">
      <c r="A43" t="s">
        <v>192</v>
      </c>
      <c r="B43" t="s">
        <v>193</v>
      </c>
      <c r="C43" s="76">
        <v>1.7218679189818589E-2</v>
      </c>
      <c r="E43" s="129">
        <f t="shared" si="0"/>
        <v>0</v>
      </c>
      <c r="I43" s="66" t="s">
        <v>86</v>
      </c>
      <c r="J43" t="s">
        <v>306</v>
      </c>
      <c r="K43" s="123" t="s">
        <v>8</v>
      </c>
      <c r="L43" s="123" t="s">
        <v>7</v>
      </c>
      <c r="N43" s="83" t="s">
        <v>351</v>
      </c>
      <c r="AB43" s="129"/>
      <c r="AC43" s="87"/>
    </row>
    <row r="44" spans="1:29">
      <c r="A44" t="s">
        <v>285</v>
      </c>
      <c r="C44" s="76">
        <v>1.7218679189818589E-2</v>
      </c>
      <c r="E44" s="129">
        <f t="shared" si="0"/>
        <v>0</v>
      </c>
      <c r="I44" t="s">
        <v>109</v>
      </c>
      <c r="J44" s="82">
        <v>46.415517302272001</v>
      </c>
      <c r="K44" s="83" t="str">
        <f>IF(J44&gt;30, "Exceeds Hard Limit", "Within Limit")</f>
        <v>Exceeds Hard Limit</v>
      </c>
      <c r="L44" s="83" t="str">
        <f>IF(J44&gt;40, "Exceeds Soft Limit", "Within Limit")</f>
        <v>Exceeds Soft Limit</v>
      </c>
      <c r="N44" t="str">
        <f>IF(L44="Exceeds Soft Limit","Asia","")</f>
        <v>Asia</v>
      </c>
      <c r="Z44" s="82"/>
      <c r="AB44" s="129"/>
      <c r="AC44" s="87"/>
    </row>
    <row r="45" spans="1:29">
      <c r="A45" t="s">
        <v>248</v>
      </c>
      <c r="B45" t="s">
        <v>43</v>
      </c>
      <c r="C45" s="76">
        <v>4.8600758625761726E-4</v>
      </c>
      <c r="E45" s="129">
        <f t="shared" si="0"/>
        <v>0</v>
      </c>
      <c r="I45" t="s">
        <v>130</v>
      </c>
      <c r="J45" s="82">
        <v>30.326549894190801</v>
      </c>
      <c r="K45" s="34"/>
      <c r="L45" s="34"/>
      <c r="AB45" s="129"/>
      <c r="AC45" s="87"/>
    </row>
    <row r="46" spans="1:29">
      <c r="A46" t="s">
        <v>286</v>
      </c>
      <c r="C46" s="76">
        <v>4.8600758625761726E-4</v>
      </c>
      <c r="E46" s="129">
        <f t="shared" si="0"/>
        <v>0</v>
      </c>
      <c r="I46" t="s">
        <v>116</v>
      </c>
      <c r="J46" s="82">
        <v>23.257932806919694</v>
      </c>
      <c r="K46" s="34"/>
      <c r="L46" s="34"/>
      <c r="AB46" s="129"/>
      <c r="AC46" s="87"/>
    </row>
    <row r="47" spans="1:29">
      <c r="A47" t="s">
        <v>164</v>
      </c>
      <c r="B47" t="s">
        <v>37</v>
      </c>
      <c r="C47" s="76">
        <v>1.4403457877414788E-3</v>
      </c>
      <c r="E47" s="129">
        <f t="shared" si="0"/>
        <v>0</v>
      </c>
      <c r="I47" t="s">
        <v>271</v>
      </c>
      <c r="J47" s="82">
        <v>100.0000000033825</v>
      </c>
      <c r="Z47" s="82"/>
      <c r="AB47" s="129"/>
      <c r="AC47" s="87"/>
    </row>
    <row r="48" spans="1:29">
      <c r="B48" t="s">
        <v>41</v>
      </c>
      <c r="C48" s="76">
        <v>7.6381973592351147E-4</v>
      </c>
      <c r="E48" s="129">
        <f t="shared" si="0"/>
        <v>0</v>
      </c>
      <c r="Z48" s="82"/>
      <c r="AB48" s="129"/>
      <c r="AC48" s="87"/>
    </row>
    <row r="49" spans="1:29">
      <c r="A49" t="s">
        <v>282</v>
      </c>
      <c r="C49" s="76">
        <v>2.2041655236649904E-3</v>
      </c>
      <c r="E49" s="129">
        <f t="shared" si="0"/>
        <v>0</v>
      </c>
      <c r="Z49" s="82"/>
      <c r="AB49" s="129"/>
      <c r="AC49" s="87"/>
    </row>
    <row r="50" spans="1:29">
      <c r="A50" t="s">
        <v>147</v>
      </c>
      <c r="B50" t="s">
        <v>148</v>
      </c>
      <c r="C50" s="76">
        <v>2.6847172546660109E-2</v>
      </c>
      <c r="E50" s="129">
        <f t="shared" si="0"/>
        <v>0</v>
      </c>
      <c r="I50" s="66" t="s">
        <v>88</v>
      </c>
      <c r="J50" t="s">
        <v>306</v>
      </c>
      <c r="K50" s="123" t="s">
        <v>8</v>
      </c>
      <c r="L50" s="123" t="s">
        <v>7</v>
      </c>
      <c r="Z50" s="82"/>
      <c r="AB50" s="129"/>
      <c r="AC50" s="87"/>
    </row>
    <row r="51" spans="1:29">
      <c r="B51" t="s">
        <v>37</v>
      </c>
      <c r="C51" s="76">
        <v>2.1605186816122182E-4</v>
      </c>
      <c r="E51" s="129">
        <f t="shared" si="0"/>
        <v>0</v>
      </c>
      <c r="I51" t="s">
        <v>117</v>
      </c>
      <c r="J51" s="82">
        <v>53.548959884311429</v>
      </c>
      <c r="K51" s="83" t="str">
        <f>IF(I51&gt;30%, "Exceeds Hard Limit", "Within Limit")</f>
        <v>Exceeds Hard Limit</v>
      </c>
      <c r="L51" s="83" t="str">
        <f>IF(I51&gt;40%, "Exceeds Soft Limit", "Within Limit")</f>
        <v>Exceeds Soft Limit</v>
      </c>
      <c r="AB51" s="129"/>
      <c r="AC51" s="87"/>
    </row>
    <row r="52" spans="1:29">
      <c r="B52" t="s">
        <v>234</v>
      </c>
      <c r="C52" s="76">
        <v>5.1066805201743337E-4</v>
      </c>
      <c r="E52" s="129">
        <f t="shared" si="0"/>
        <v>0</v>
      </c>
      <c r="I52" t="s">
        <v>110</v>
      </c>
      <c r="J52" s="82">
        <v>46.451040119071052</v>
      </c>
      <c r="K52" s="83" t="str">
        <f>IF(I52&gt;30%, "Exceeds Hard Limit", "Within Limit")</f>
        <v>Exceeds Hard Limit</v>
      </c>
      <c r="L52" s="83" t="str">
        <f>IF(I52&gt;40%, "Exceeds Soft Limit", "Within Limit")</f>
        <v>Exceeds Soft Limit</v>
      </c>
      <c r="AB52" s="129"/>
      <c r="AC52" s="87"/>
    </row>
    <row r="53" spans="1:29">
      <c r="B53" t="s">
        <v>41</v>
      </c>
      <c r="C53" s="76">
        <v>1.2926012273928452E-2</v>
      </c>
      <c r="E53" s="129">
        <f t="shared" si="0"/>
        <v>0</v>
      </c>
      <c r="I53" t="s">
        <v>271</v>
      </c>
      <c r="J53" s="82">
        <v>100.0000000033825</v>
      </c>
      <c r="K53" s="83"/>
      <c r="L53" s="83"/>
      <c r="Z53" s="82"/>
      <c r="AB53" s="129"/>
      <c r="AC53" s="87"/>
    </row>
    <row r="54" spans="1:29">
      <c r="A54" t="s">
        <v>287</v>
      </c>
      <c r="C54" s="76">
        <v>4.0499904740767215E-2</v>
      </c>
      <c r="E54" s="129">
        <f t="shared" si="0"/>
        <v>0</v>
      </c>
      <c r="Z54" s="82"/>
      <c r="AB54" s="129"/>
      <c r="AC54" s="87"/>
    </row>
    <row r="55" spans="1:29">
      <c r="A55" t="s">
        <v>271</v>
      </c>
      <c r="C55" s="76">
        <v>1</v>
      </c>
      <c r="E55" s="129">
        <f t="shared" si="0"/>
        <v>0</v>
      </c>
      <c r="I55" s="83" t="s">
        <v>319</v>
      </c>
      <c r="N55" s="131" t="s">
        <v>310</v>
      </c>
      <c r="O55" s="131" t="s">
        <v>311</v>
      </c>
      <c r="P55" s="131" t="s">
        <v>315</v>
      </c>
      <c r="AB55" s="129"/>
      <c r="AC55" s="87"/>
    </row>
    <row r="56" spans="1:29">
      <c r="E56" s="129">
        <f t="shared" si="0"/>
        <v>0</v>
      </c>
      <c r="I56" s="66" t="s">
        <v>67</v>
      </c>
      <c r="J56" t="s">
        <v>306</v>
      </c>
      <c r="K56" t="s">
        <v>309</v>
      </c>
      <c r="L56" t="s">
        <v>312</v>
      </c>
      <c r="M56" t="s">
        <v>314</v>
      </c>
      <c r="N56" t="str">
        <f t="shared" ref="N56:N87" si="13">IF(I57&lt;&gt;"",IF(ISNUMBER(K57), "",I57),"")</f>
        <v/>
      </c>
      <c r="O56" t="str">
        <f t="shared" ref="O56:O87" si="14">IF(I57&lt;&gt;"",IF(ISNUMBER(L57), "",I57),"")</f>
        <v/>
      </c>
      <c r="P56" t="str">
        <f>IF(O56&lt;&gt;"","1","0")</f>
        <v>0</v>
      </c>
      <c r="Q56" s="131" t="s">
        <v>313</v>
      </c>
      <c r="Z56" s="82"/>
      <c r="AB56" s="129"/>
      <c r="AC56" s="87"/>
    </row>
    <row r="57" spans="1:29">
      <c r="E57" s="129">
        <f t="shared" si="0"/>
        <v>0</v>
      </c>
      <c r="I57" t="s">
        <v>213</v>
      </c>
      <c r="J57" s="82">
        <v>0.12883797704048661</v>
      </c>
      <c r="K57" s="130">
        <v>0</v>
      </c>
      <c r="L57" s="82">
        <v>0</v>
      </c>
      <c r="M57" s="82">
        <v>0</v>
      </c>
      <c r="N57" t="str">
        <f t="shared" si="13"/>
        <v/>
      </c>
      <c r="O57" t="str">
        <f t="shared" si="14"/>
        <v/>
      </c>
      <c r="P57" t="str">
        <f t="shared" ref="P57:P87" si="15">IF(O57&lt;&gt;"","1","0")</f>
        <v>0</v>
      </c>
      <c r="Q57" t="str">
        <f>IF(I57&lt;&gt;"",IF(ISNUMBER(M57), "",I57),"")</f>
        <v/>
      </c>
      <c r="R57" t="str">
        <f t="shared" ref="R57:R88" si="16">IF(Q57&lt;&gt;"",J57,"")</f>
        <v/>
      </c>
      <c r="S57" t="str" cm="1">
        <f t="array" ref="S57:S64">_xlfn.UNIQUE(N56:N88)</f>
        <v/>
      </c>
      <c r="AB57" s="129"/>
      <c r="AC57" s="87"/>
    </row>
    <row r="58" spans="1:29">
      <c r="E58" s="129">
        <f t="shared" si="0"/>
        <v>0</v>
      </c>
      <c r="I58" t="s">
        <v>161</v>
      </c>
      <c r="J58" s="82">
        <v>4.703539244949412</v>
      </c>
      <c r="K58" s="130">
        <v>0</v>
      </c>
      <c r="L58" s="82">
        <v>0</v>
      </c>
      <c r="M58" s="82">
        <v>0</v>
      </c>
      <c r="N58" t="str">
        <f t="shared" si="13"/>
        <v/>
      </c>
      <c r="O58" t="str">
        <f t="shared" si="14"/>
        <v/>
      </c>
      <c r="P58" t="str">
        <f t="shared" si="15"/>
        <v>0</v>
      </c>
      <c r="Q58" t="str">
        <f t="shared" ref="Q58:Q89" si="17">IF(I58&lt;&gt;"",IF(ISNUMBER(M58), "",I58),"")</f>
        <v/>
      </c>
      <c r="R58" t="str">
        <f t="shared" si="16"/>
        <v/>
      </c>
      <c r="S58" t="str">
        <v>Raturo Inc</v>
      </c>
      <c r="AB58" s="129"/>
      <c r="AC58" s="87"/>
    </row>
    <row r="59" spans="1:29">
      <c r="E59" s="129">
        <f t="shared" si="0"/>
        <v>0</v>
      </c>
      <c r="I59" t="s">
        <v>219</v>
      </c>
      <c r="J59" s="82">
        <v>0.29255251587362902</v>
      </c>
      <c r="K59" s="130">
        <v>0</v>
      </c>
      <c r="L59" s="82">
        <v>0</v>
      </c>
      <c r="M59" s="82">
        <v>0</v>
      </c>
      <c r="N59" t="str">
        <f t="shared" si="13"/>
        <v/>
      </c>
      <c r="O59" t="str">
        <f t="shared" si="14"/>
        <v/>
      </c>
      <c r="P59" t="str">
        <f t="shared" si="15"/>
        <v>0</v>
      </c>
      <c r="Q59" t="str">
        <f t="shared" si="17"/>
        <v/>
      </c>
      <c r="R59" t="str">
        <f t="shared" si="16"/>
        <v/>
      </c>
      <c r="S59" t="str">
        <v>Sams Electronics Ltd</v>
      </c>
      <c r="Z59" s="82"/>
      <c r="AB59" s="129"/>
      <c r="AC59" s="87"/>
    </row>
    <row r="60" spans="1:29">
      <c r="E60" s="129">
        <f t="shared" si="0"/>
        <v>0</v>
      </c>
      <c r="I60" t="s">
        <v>142</v>
      </c>
      <c r="J60" s="82">
        <v>0.3724019508687374</v>
      </c>
      <c r="K60" s="130">
        <v>0</v>
      </c>
      <c r="L60" s="82">
        <v>0</v>
      </c>
      <c r="M60" s="82">
        <v>0</v>
      </c>
      <c r="N60" t="str">
        <f t="shared" si="13"/>
        <v/>
      </c>
      <c r="O60" t="str">
        <f t="shared" si="14"/>
        <v/>
      </c>
      <c r="P60" t="str">
        <f t="shared" si="15"/>
        <v>0</v>
      </c>
      <c r="Q60" t="str">
        <f t="shared" si="17"/>
        <v/>
      </c>
      <c r="R60" t="str">
        <f t="shared" si="16"/>
        <v/>
      </c>
      <c r="S60" t="str">
        <v>SpectraLogic Systems Inc.</v>
      </c>
      <c r="Z60" s="82"/>
      <c r="AB60" s="129"/>
      <c r="AC60" s="87"/>
    </row>
    <row r="61" spans="1:29">
      <c r="E61" s="129">
        <f t="shared" si="0"/>
        <v>0</v>
      </c>
      <c r="I61" t="s">
        <v>165</v>
      </c>
      <c r="J61" s="82">
        <v>1.0773803247957152</v>
      </c>
      <c r="K61" s="130">
        <v>0</v>
      </c>
      <c r="L61" s="82">
        <v>0</v>
      </c>
      <c r="M61" s="82">
        <v>0</v>
      </c>
      <c r="N61" t="str">
        <f t="shared" si="13"/>
        <v/>
      </c>
      <c r="O61" t="str">
        <f t="shared" si="14"/>
        <v/>
      </c>
      <c r="P61" t="str">
        <f t="shared" si="15"/>
        <v>0</v>
      </c>
      <c r="Q61" t="str">
        <f t="shared" si="17"/>
        <v/>
      </c>
      <c r="R61" t="str">
        <f t="shared" si="16"/>
        <v/>
      </c>
      <c r="S61" t="str">
        <v>TerraNex Solutions LLC</v>
      </c>
      <c r="Z61" s="82"/>
      <c r="AB61" s="129"/>
      <c r="AC61" s="87"/>
    </row>
    <row r="62" spans="1:29">
      <c r="E62" s="129">
        <f t="shared" si="0"/>
        <v>0</v>
      </c>
      <c r="I62" t="s">
        <v>180</v>
      </c>
      <c r="J62" s="82">
        <v>0.79990354500542338</v>
      </c>
      <c r="K62" s="130">
        <v>0</v>
      </c>
      <c r="L62" s="82">
        <v>0</v>
      </c>
      <c r="M62" s="82">
        <v>0</v>
      </c>
      <c r="N62" t="str">
        <f t="shared" si="13"/>
        <v/>
      </c>
      <c r="O62" t="str">
        <f t="shared" si="14"/>
        <v/>
      </c>
      <c r="P62" t="str">
        <f t="shared" si="15"/>
        <v>0</v>
      </c>
      <c r="Q62" t="str">
        <f t="shared" si="17"/>
        <v/>
      </c>
      <c r="R62" t="str">
        <f t="shared" si="16"/>
        <v/>
      </c>
      <c r="S62" t="str">
        <v>US Treasury Department</v>
      </c>
      <c r="AB62" s="129"/>
      <c r="AC62" s="87"/>
    </row>
    <row r="63" spans="1:29">
      <c r="E63" s="129">
        <f t="shared" si="0"/>
        <v>0</v>
      </c>
      <c r="I63" t="s">
        <v>155</v>
      </c>
      <c r="J63" s="82">
        <v>7.2419408277669489E-2</v>
      </c>
      <c r="K63" s="130">
        <v>0</v>
      </c>
      <c r="L63" s="82">
        <v>0</v>
      </c>
      <c r="M63" s="82">
        <v>0</v>
      </c>
      <c r="N63" t="str">
        <f t="shared" si="13"/>
        <v/>
      </c>
      <c r="O63" t="str">
        <f t="shared" si="14"/>
        <v/>
      </c>
      <c r="P63" t="str">
        <f t="shared" si="15"/>
        <v>0</v>
      </c>
      <c r="Q63" t="str">
        <f t="shared" si="17"/>
        <v/>
      </c>
      <c r="R63" t="str">
        <f t="shared" si="16"/>
        <v/>
      </c>
      <c r="S63" t="str">
        <v>Vortexal L4 Ltd.</v>
      </c>
      <c r="Z63" s="82"/>
      <c r="AB63" s="129"/>
      <c r="AC63" s="87"/>
    </row>
    <row r="64" spans="1:29">
      <c r="E64" s="129">
        <f t="shared" si="0"/>
        <v>0</v>
      </c>
      <c r="I64" t="s">
        <v>222</v>
      </c>
      <c r="J64" s="82">
        <v>0.2570296990745799</v>
      </c>
      <c r="K64" s="130">
        <v>0</v>
      </c>
      <c r="L64" s="82">
        <v>0</v>
      </c>
      <c r="M64" s="82">
        <v>0</v>
      </c>
      <c r="N64" t="str">
        <f t="shared" si="13"/>
        <v/>
      </c>
      <c r="O64" t="str">
        <f t="shared" si="14"/>
        <v/>
      </c>
      <c r="P64" t="str">
        <f t="shared" si="15"/>
        <v>0</v>
      </c>
      <c r="Q64" t="str">
        <f t="shared" si="17"/>
        <v/>
      </c>
      <c r="R64" t="str">
        <f t="shared" si="16"/>
        <v/>
      </c>
      <c r="S64" t="str">
        <v>Zenith Core Innovations Ltd</v>
      </c>
      <c r="AB64" s="129"/>
      <c r="AC64" s="87"/>
    </row>
    <row r="65" spans="5:29">
      <c r="E65" s="129">
        <f t="shared" si="0"/>
        <v>0</v>
      </c>
      <c r="I65" t="s">
        <v>208</v>
      </c>
      <c r="J65" s="82">
        <v>0.28855641649392405</v>
      </c>
      <c r="K65" s="130">
        <v>0</v>
      </c>
      <c r="L65" s="82">
        <v>0</v>
      </c>
      <c r="M65" s="82">
        <v>0</v>
      </c>
      <c r="N65" t="str">
        <f t="shared" si="13"/>
        <v/>
      </c>
      <c r="O65" t="str">
        <f t="shared" si="14"/>
        <v/>
      </c>
      <c r="P65" t="str">
        <f t="shared" si="15"/>
        <v>0</v>
      </c>
      <c r="Q65" t="str">
        <f t="shared" si="17"/>
        <v/>
      </c>
      <c r="R65" t="str">
        <f t="shared" si="16"/>
        <v/>
      </c>
      <c r="Z65" s="82"/>
      <c r="AB65" s="129"/>
      <c r="AC65" s="87"/>
    </row>
    <row r="66" spans="5:29">
      <c r="E66" s="129">
        <f t="shared" si="0"/>
        <v>0</v>
      </c>
      <c r="I66" t="s">
        <v>170</v>
      </c>
      <c r="J66" s="82">
        <v>0.23819731037896447</v>
      </c>
      <c r="K66" s="130">
        <v>0</v>
      </c>
      <c r="L66" s="82">
        <v>0</v>
      </c>
      <c r="M66" s="82">
        <v>0</v>
      </c>
      <c r="N66" t="str">
        <f t="shared" si="13"/>
        <v/>
      </c>
      <c r="O66" t="str">
        <f t="shared" si="14"/>
        <v/>
      </c>
      <c r="P66" t="str">
        <f t="shared" si="15"/>
        <v>0</v>
      </c>
      <c r="Q66" t="str">
        <f t="shared" si="17"/>
        <v/>
      </c>
      <c r="R66" t="str">
        <f t="shared" si="16"/>
        <v/>
      </c>
      <c r="Z66" s="82"/>
      <c r="AB66" s="129"/>
      <c r="AC66" s="87"/>
    </row>
    <row r="67" spans="5:29">
      <c r="E67" s="129">
        <f t="shared" si="0"/>
        <v>0</v>
      </c>
      <c r="I67" t="s">
        <v>194</v>
      </c>
      <c r="J67" s="82">
        <v>1.6222985725283456E-5</v>
      </c>
      <c r="K67" s="130">
        <v>0</v>
      </c>
      <c r="L67" s="82">
        <v>0</v>
      </c>
      <c r="M67" s="82">
        <v>0</v>
      </c>
      <c r="N67" t="str">
        <f t="shared" si="13"/>
        <v/>
      </c>
      <c r="O67" t="str">
        <f t="shared" si="14"/>
        <v/>
      </c>
      <c r="P67" t="str">
        <f t="shared" si="15"/>
        <v>0</v>
      </c>
      <c r="Q67" t="str">
        <f t="shared" si="17"/>
        <v/>
      </c>
      <c r="R67" t="str">
        <f t="shared" si="16"/>
        <v/>
      </c>
      <c r="AB67" s="129"/>
      <c r="AC67" s="87"/>
    </row>
    <row r="68" spans="5:29">
      <c r="E68" s="129">
        <f t="shared" si="0"/>
        <v>0</v>
      </c>
      <c r="I68" t="s">
        <v>114</v>
      </c>
      <c r="J68" s="82">
        <v>0.78272130347864266</v>
      </c>
      <c r="K68" s="130">
        <v>0</v>
      </c>
      <c r="L68" s="82">
        <v>0</v>
      </c>
      <c r="M68" s="82">
        <v>0</v>
      </c>
      <c r="N68" t="str">
        <f t="shared" si="13"/>
        <v/>
      </c>
      <c r="O68" t="str">
        <f t="shared" si="14"/>
        <v/>
      </c>
      <c r="P68" t="str">
        <f t="shared" si="15"/>
        <v>0</v>
      </c>
      <c r="Q68" t="str">
        <f t="shared" si="17"/>
        <v/>
      </c>
      <c r="R68" t="str">
        <f t="shared" si="16"/>
        <v/>
      </c>
      <c r="Z68" s="82"/>
      <c r="AB68" s="129"/>
      <c r="AC68" s="87"/>
    </row>
    <row r="69" spans="5:29">
      <c r="E69" s="129">
        <f t="shared" ref="E69:E71" si="18">D69/$G$1</f>
        <v>0</v>
      </c>
      <c r="I69" t="s">
        <v>28</v>
      </c>
      <c r="J69" s="82">
        <v>1.0253277952293145</v>
      </c>
      <c r="K69" s="130">
        <v>0</v>
      </c>
      <c r="L69" s="82">
        <v>0</v>
      </c>
      <c r="M69" s="82">
        <v>0</v>
      </c>
      <c r="N69" t="str">
        <f t="shared" si="13"/>
        <v/>
      </c>
      <c r="O69" t="str">
        <f t="shared" si="14"/>
        <v/>
      </c>
      <c r="P69" t="str">
        <f t="shared" si="15"/>
        <v>0</v>
      </c>
      <c r="Q69" t="str">
        <f t="shared" si="17"/>
        <v/>
      </c>
      <c r="R69" t="str">
        <f t="shared" si="16"/>
        <v/>
      </c>
      <c r="AB69" s="129"/>
      <c r="AC69" s="87"/>
    </row>
    <row r="70" spans="5:29">
      <c r="E70" s="129">
        <f t="shared" si="18"/>
        <v>0</v>
      </c>
      <c r="I70" t="s">
        <v>231</v>
      </c>
      <c r="J70" s="82">
        <v>4.6467423881998782</v>
      </c>
      <c r="K70" s="130">
        <v>0</v>
      </c>
      <c r="L70" s="82">
        <v>0</v>
      </c>
      <c r="M70" s="82">
        <v>0</v>
      </c>
      <c r="N70" t="str">
        <f t="shared" si="13"/>
        <v/>
      </c>
      <c r="O70" t="str">
        <f t="shared" si="14"/>
        <v/>
      </c>
      <c r="P70" t="str">
        <f t="shared" si="15"/>
        <v>0</v>
      </c>
      <c r="Q70" t="str">
        <f t="shared" si="17"/>
        <v/>
      </c>
      <c r="R70" t="str">
        <f t="shared" si="16"/>
        <v/>
      </c>
      <c r="AB70" s="129"/>
      <c r="AC70" s="87"/>
    </row>
    <row r="71" spans="5:29">
      <c r="E71" s="129">
        <f t="shared" si="18"/>
        <v>0</v>
      </c>
      <c r="I71" t="s">
        <v>103</v>
      </c>
      <c r="J71" s="82">
        <v>3.8356402370095348</v>
      </c>
      <c r="K71" s="130">
        <v>0</v>
      </c>
      <c r="L71" s="82">
        <v>0</v>
      </c>
      <c r="M71" s="82">
        <v>0</v>
      </c>
      <c r="N71" t="str">
        <f t="shared" si="13"/>
        <v/>
      </c>
      <c r="O71" t="str">
        <f t="shared" si="14"/>
        <v/>
      </c>
      <c r="P71" t="str">
        <f t="shared" si="15"/>
        <v>0</v>
      </c>
      <c r="Q71" t="str">
        <f t="shared" si="17"/>
        <v/>
      </c>
      <c r="R71" t="str">
        <f t="shared" si="16"/>
        <v/>
      </c>
    </row>
    <row r="72" spans="5:29">
      <c r="I72" t="s">
        <v>216</v>
      </c>
      <c r="J72" s="82">
        <v>0.34029003908447725</v>
      </c>
      <c r="K72" s="130">
        <v>0</v>
      </c>
      <c r="L72" s="82">
        <v>0</v>
      </c>
      <c r="M72" s="82">
        <v>0</v>
      </c>
      <c r="N72" t="str">
        <f t="shared" si="13"/>
        <v/>
      </c>
      <c r="O72" t="str">
        <f t="shared" si="14"/>
        <v/>
      </c>
      <c r="P72" t="str">
        <f t="shared" si="15"/>
        <v>0</v>
      </c>
      <c r="Q72" t="str">
        <f t="shared" si="17"/>
        <v/>
      </c>
      <c r="R72" t="str">
        <f t="shared" si="16"/>
        <v/>
      </c>
    </row>
    <row r="73" spans="5:29">
      <c r="I73" t="s">
        <v>187</v>
      </c>
      <c r="J73" s="82">
        <v>1.6019060004364012</v>
      </c>
      <c r="K73" s="130">
        <v>0</v>
      </c>
      <c r="L73" s="82">
        <v>0</v>
      </c>
      <c r="M73" s="82">
        <v>0</v>
      </c>
      <c r="N73" t="str">
        <f t="shared" si="13"/>
        <v/>
      </c>
      <c r="O73" t="str">
        <f t="shared" si="14"/>
        <v/>
      </c>
      <c r="P73" t="str">
        <f t="shared" si="15"/>
        <v>0</v>
      </c>
      <c r="Q73" t="str">
        <f t="shared" si="17"/>
        <v/>
      </c>
      <c r="R73" t="str">
        <f t="shared" si="16"/>
        <v/>
      </c>
    </row>
    <row r="74" spans="5:29">
      <c r="I74" t="s">
        <v>152</v>
      </c>
      <c r="J74" s="82">
        <v>4.5956199141151659</v>
      </c>
      <c r="K74" s="130">
        <v>0</v>
      </c>
      <c r="L74" s="82">
        <v>0</v>
      </c>
      <c r="M74" s="82">
        <v>0</v>
      </c>
      <c r="N74" t="str">
        <f t="shared" si="13"/>
        <v/>
      </c>
      <c r="O74" t="str">
        <f t="shared" si="14"/>
        <v/>
      </c>
      <c r="P74" t="str">
        <f t="shared" si="15"/>
        <v>0</v>
      </c>
      <c r="Q74" t="str">
        <f t="shared" si="17"/>
        <v/>
      </c>
      <c r="R74" t="str">
        <f t="shared" si="16"/>
        <v/>
      </c>
    </row>
    <row r="75" spans="5:29">
      <c r="I75" t="s">
        <v>240</v>
      </c>
      <c r="J75" s="82">
        <v>5.0695062086069637E-2</v>
      </c>
      <c r="K75" s="130">
        <v>0</v>
      </c>
      <c r="L75" s="82">
        <v>0</v>
      </c>
      <c r="M75" s="82">
        <v>0</v>
      </c>
      <c r="N75" t="str">
        <f t="shared" si="13"/>
        <v/>
      </c>
      <c r="O75" t="str">
        <f t="shared" si="14"/>
        <v/>
      </c>
      <c r="P75" t="str">
        <f t="shared" si="15"/>
        <v>0</v>
      </c>
      <c r="Q75" t="str">
        <f t="shared" si="17"/>
        <v/>
      </c>
      <c r="R75" t="str">
        <f t="shared" si="16"/>
        <v/>
      </c>
    </row>
    <row r="76" spans="5:29">
      <c r="I76" t="s">
        <v>228</v>
      </c>
      <c r="J76" s="82">
        <v>2.7396472291832215</v>
      </c>
      <c r="K76" s="130">
        <v>0</v>
      </c>
      <c r="L76" s="82">
        <v>0</v>
      </c>
      <c r="M76" s="82">
        <v>0</v>
      </c>
      <c r="N76" t="str">
        <f t="shared" si="13"/>
        <v/>
      </c>
      <c r="O76" t="str">
        <f t="shared" si="14"/>
        <v/>
      </c>
      <c r="P76" t="str">
        <f t="shared" si="15"/>
        <v>0</v>
      </c>
      <c r="Q76" t="str">
        <f t="shared" si="17"/>
        <v/>
      </c>
      <c r="R76" t="str">
        <f t="shared" si="16"/>
        <v/>
      </c>
    </row>
    <row r="77" spans="5:29">
      <c r="I77" t="s">
        <v>182</v>
      </c>
      <c r="J77" s="82">
        <v>0.93338171743651033</v>
      </c>
      <c r="K77" s="130">
        <v>0</v>
      </c>
      <c r="L77" s="82">
        <v>0</v>
      </c>
      <c r="M77" s="82">
        <v>0</v>
      </c>
      <c r="N77" t="str">
        <f t="shared" si="13"/>
        <v>Raturo Inc</v>
      </c>
      <c r="O77" t="str">
        <f t="shared" si="14"/>
        <v/>
      </c>
      <c r="P77" t="str">
        <f t="shared" si="15"/>
        <v>0</v>
      </c>
      <c r="Q77" t="str">
        <f t="shared" si="17"/>
        <v/>
      </c>
      <c r="R77" t="str">
        <f t="shared" si="16"/>
        <v/>
      </c>
    </row>
    <row r="78" spans="5:29">
      <c r="I78" t="s">
        <v>106</v>
      </c>
      <c r="J78" s="82">
        <v>8.6723686783199394</v>
      </c>
      <c r="K78" s="130" t="e">
        <v>#VALUE!</v>
      </c>
      <c r="L78" s="82">
        <v>0</v>
      </c>
      <c r="M78" s="82" t="e">
        <v>#VALUE!</v>
      </c>
      <c r="N78" t="str">
        <f t="shared" si="13"/>
        <v/>
      </c>
      <c r="O78" t="str">
        <f t="shared" si="14"/>
        <v/>
      </c>
      <c r="P78" t="str">
        <f t="shared" si="15"/>
        <v>0</v>
      </c>
      <c r="Q78" t="str">
        <f t="shared" si="17"/>
        <v>Raturo Inc</v>
      </c>
      <c r="R78">
        <f t="shared" si="16"/>
        <v>8.6723686783199394</v>
      </c>
    </row>
    <row r="79" spans="5:29">
      <c r="I79" t="s">
        <v>173</v>
      </c>
      <c r="J79" s="82">
        <v>1.3998842366998268</v>
      </c>
      <c r="K79" s="130">
        <v>0</v>
      </c>
      <c r="L79" s="82">
        <v>0</v>
      </c>
      <c r="M79" s="82">
        <v>0</v>
      </c>
      <c r="N79" t="str">
        <f t="shared" si="13"/>
        <v>Sams Electronics Ltd</v>
      </c>
      <c r="O79" t="str">
        <f t="shared" si="14"/>
        <v>Sams Electronics Ltd</v>
      </c>
      <c r="P79" t="str">
        <f t="shared" si="15"/>
        <v>1</v>
      </c>
      <c r="Q79" t="str">
        <f t="shared" si="17"/>
        <v/>
      </c>
      <c r="R79" t="str">
        <f t="shared" si="16"/>
        <v/>
      </c>
    </row>
    <row r="80" spans="5:29">
      <c r="I80" t="s">
        <v>120</v>
      </c>
      <c r="J80" s="82">
        <v>11.043932107150614</v>
      </c>
      <c r="K80" s="130" t="e">
        <v>#VALUE!</v>
      </c>
      <c r="L80" s="82" t="e">
        <v>#VALUE!</v>
      </c>
      <c r="M80" s="82">
        <v>0</v>
      </c>
      <c r="N80" t="str">
        <f t="shared" si="13"/>
        <v>SpectraLogic Systems Inc.</v>
      </c>
      <c r="O80" t="str">
        <f t="shared" si="14"/>
        <v>SpectraLogic Systems Inc.</v>
      </c>
      <c r="P80" t="str">
        <f t="shared" si="15"/>
        <v>1</v>
      </c>
      <c r="Q80" t="str">
        <f t="shared" si="17"/>
        <v/>
      </c>
      <c r="R80" t="str">
        <f t="shared" si="16"/>
        <v/>
      </c>
    </row>
    <row r="81" spans="9:19">
      <c r="I81" t="s">
        <v>196</v>
      </c>
      <c r="J81" s="82">
        <v>13.780737853080765</v>
      </c>
      <c r="K81" s="130" t="e">
        <v>#VALUE!</v>
      </c>
      <c r="L81" s="82" t="e">
        <v>#VALUE!</v>
      </c>
      <c r="M81" s="82">
        <v>0</v>
      </c>
      <c r="N81" t="str">
        <f t="shared" si="13"/>
        <v/>
      </c>
      <c r="O81" t="str">
        <f t="shared" si="14"/>
        <v/>
      </c>
      <c r="P81" t="str">
        <f t="shared" si="15"/>
        <v>0</v>
      </c>
      <c r="Q81" t="str">
        <f t="shared" si="17"/>
        <v/>
      </c>
      <c r="R81" t="str">
        <f t="shared" si="16"/>
        <v/>
      </c>
    </row>
    <row r="82" spans="9:19">
      <c r="I82" t="s">
        <v>177</v>
      </c>
      <c r="J82" s="82">
        <v>1.5338486642511147</v>
      </c>
      <c r="K82" s="130">
        <v>0</v>
      </c>
      <c r="L82" s="82">
        <v>0</v>
      </c>
      <c r="M82" s="82">
        <v>0</v>
      </c>
      <c r="N82" t="str">
        <f t="shared" si="13"/>
        <v>TerraNex Solutions LLC</v>
      </c>
      <c r="O82" t="str">
        <f t="shared" si="14"/>
        <v>TerraNex Solutions LLC</v>
      </c>
      <c r="P82" t="str">
        <f t="shared" si="15"/>
        <v>1</v>
      </c>
      <c r="Q82" t="str">
        <f t="shared" si="17"/>
        <v/>
      </c>
      <c r="R82" t="str">
        <f t="shared" si="16"/>
        <v/>
      </c>
    </row>
    <row r="83" spans="9:19">
      <c r="I83" t="s">
        <v>199</v>
      </c>
      <c r="J83" s="82">
        <v>15.135222338396842</v>
      </c>
      <c r="K83" s="130" t="e">
        <v>#VALUE!</v>
      </c>
      <c r="L83" s="82" t="e">
        <v>#VALUE!</v>
      </c>
      <c r="M83" s="82">
        <v>0</v>
      </c>
      <c r="N83" t="str">
        <f t="shared" si="13"/>
        <v>US Treasury Department</v>
      </c>
      <c r="O83" t="str">
        <f t="shared" si="14"/>
        <v/>
      </c>
      <c r="P83" t="str">
        <f t="shared" si="15"/>
        <v>0</v>
      </c>
      <c r="Q83" t="str">
        <f t="shared" si="17"/>
        <v/>
      </c>
      <c r="R83" t="str">
        <f t="shared" si="16"/>
        <v/>
      </c>
    </row>
    <row r="84" spans="9:19">
      <c r="I84" t="s">
        <v>133</v>
      </c>
      <c r="J84" s="82">
        <v>7.2883523589125758</v>
      </c>
      <c r="K84" s="130" t="e">
        <v>#VALUE!</v>
      </c>
      <c r="L84" s="82">
        <v>0</v>
      </c>
      <c r="M84" s="82" t="e">
        <v>#VALUE!</v>
      </c>
      <c r="N84" t="str">
        <f t="shared" si="13"/>
        <v/>
      </c>
      <c r="O84" t="str">
        <f t="shared" si="14"/>
        <v/>
      </c>
      <c r="P84" t="str">
        <f t="shared" si="15"/>
        <v>0</v>
      </c>
      <c r="Q84" t="str">
        <f t="shared" si="17"/>
        <v>US Treasury Department</v>
      </c>
      <c r="R84">
        <f t="shared" si="16"/>
        <v>7.2883523589125758</v>
      </c>
    </row>
    <row r="85" spans="9:19">
      <c r="I85" t="s">
        <v>235</v>
      </c>
      <c r="J85" s="82">
        <v>4.9223069476285958E-3</v>
      </c>
      <c r="K85" s="130">
        <v>0</v>
      </c>
      <c r="L85" s="82">
        <v>0</v>
      </c>
      <c r="M85" s="82">
        <v>0</v>
      </c>
      <c r="N85" t="str">
        <f t="shared" si="13"/>
        <v/>
      </c>
      <c r="O85" t="str">
        <f t="shared" si="14"/>
        <v/>
      </c>
      <c r="P85" t="str">
        <f t="shared" si="15"/>
        <v>0</v>
      </c>
      <c r="Q85" t="str">
        <f t="shared" si="17"/>
        <v/>
      </c>
      <c r="R85" t="str">
        <f t="shared" si="16"/>
        <v/>
      </c>
    </row>
    <row r="86" spans="9:19">
      <c r="I86" t="s">
        <v>127</v>
      </c>
      <c r="J86" s="82">
        <v>3.7735582506979477</v>
      </c>
      <c r="K86" s="130">
        <v>0</v>
      </c>
      <c r="L86" s="82">
        <v>0</v>
      </c>
      <c r="M86" s="82">
        <v>0</v>
      </c>
      <c r="N86" t="str">
        <f t="shared" si="13"/>
        <v>Vortexal L4 Ltd.</v>
      </c>
      <c r="O86" t="str">
        <f t="shared" si="14"/>
        <v/>
      </c>
      <c r="P86" t="str">
        <f t="shared" si="15"/>
        <v>0</v>
      </c>
      <c r="Q86" t="str">
        <f t="shared" si="17"/>
        <v/>
      </c>
      <c r="R86" t="str">
        <f t="shared" si="16"/>
        <v/>
      </c>
    </row>
    <row r="87" spans="9:19">
      <c r="I87" t="s">
        <v>226</v>
      </c>
      <c r="J87" s="82">
        <v>5.1977738130484248</v>
      </c>
      <c r="K87" s="130" t="e">
        <v>#VALUE!</v>
      </c>
      <c r="L87" s="82">
        <v>0</v>
      </c>
      <c r="M87" s="82" t="e">
        <v>#VALUE!</v>
      </c>
      <c r="N87" t="str">
        <f t="shared" si="13"/>
        <v>Zenith Core Innovations Ltd</v>
      </c>
      <c r="O87" t="str">
        <f t="shared" si="14"/>
        <v>Zenith Core Innovations Ltd</v>
      </c>
      <c r="P87" t="str">
        <f t="shared" si="15"/>
        <v>1</v>
      </c>
      <c r="Q87" t="str">
        <f t="shared" si="17"/>
        <v>Vortexal L4 Ltd.</v>
      </c>
      <c r="R87">
        <f t="shared" si="16"/>
        <v>5.1977738130484248</v>
      </c>
    </row>
    <row r="88" spans="9:19">
      <c r="I88" t="s">
        <v>138</v>
      </c>
      <c r="J88" s="82">
        <v>24.740955352359695</v>
      </c>
      <c r="K88" s="130" t="e">
        <v>#VALUE!</v>
      </c>
      <c r="L88" s="82" t="e">
        <v>#VALUE!</v>
      </c>
      <c r="M88" s="82">
        <v>0</v>
      </c>
      <c r="N88" t="str">
        <f>IF(I89&lt;&gt;"",IF(ISNUMBER(L89), "",I89),"")</f>
        <v/>
      </c>
      <c r="Q88" t="str">
        <f t="shared" si="17"/>
        <v/>
      </c>
      <c r="R88" t="str">
        <f t="shared" si="16"/>
        <v/>
      </c>
    </row>
    <row r="89" spans="9:19">
      <c r="L89" t="str">
        <f>IF(I89&lt;&gt;"",IF(ISNUMBER(K89), "",I89),"")</f>
        <v/>
      </c>
      <c r="P89" t="str">
        <f>IF(PRODUCT(P56:P87)=0,"0","1")</f>
        <v>0</v>
      </c>
      <c r="Q89" t="str">
        <f t="shared" si="17"/>
        <v/>
      </c>
      <c r="R89" s="83">
        <f>SUM(R57:R87)</f>
        <v>21.158494850280938</v>
      </c>
      <c r="S89" t="str">
        <f>IF(R89&gt;40, "0","1")</f>
        <v>1</v>
      </c>
    </row>
    <row r="90" spans="9:19">
      <c r="N90" s="83" t="s">
        <v>327</v>
      </c>
    </row>
    <row r="91" spans="9:19">
      <c r="I91" s="83" t="s">
        <v>326</v>
      </c>
      <c r="N91" t="str">
        <f t="shared" ref="N91:N107" si="19">IF(J92="Missing",I92,"")</f>
        <v/>
      </c>
      <c r="P91" t="str">
        <f>IF(PRODUCT(P89,S89)=0,"5/10/40 Rule is Breached")</f>
        <v>5/10/40 Rule is Breached</v>
      </c>
    </row>
    <row r="92" spans="9:19">
      <c r="I92" t="str" cm="1">
        <f t="array" ref="I92:I106">IF(_xlfn.UNIQUE(Funds_data!L3:L1048576)="","",_xlfn.UNIQUE(Funds_data!L3:L1048576))</f>
        <v>Common Stock</v>
      </c>
      <c r="J92" t="str">
        <f>IF(ISNUMBER(MATCH(I92, $L$92:$L$103, 1)), "Exists", "Missing")</f>
        <v>Exists</v>
      </c>
      <c r="K92" cm="1">
        <f t="array" ref="K92:L103">Eligible[]</f>
        <v>1</v>
      </c>
      <c r="L92" t="str">
        <v>Common Stock</v>
      </c>
      <c r="N92" t="str">
        <f t="shared" si="19"/>
        <v/>
      </c>
      <c r="Q92" s="81" t="s">
        <v>352</v>
      </c>
    </row>
    <row r="93" spans="9:19">
      <c r="I93" t="str">
        <v>Depository Receipts</v>
      </c>
      <c r="J93" t="str">
        <f t="shared" ref="J93:J109" si="20">IF(ISNUMBER(MATCH(I93, $L$92:$L$103, 1)), "Exists", "Missing")</f>
        <v>Exists</v>
      </c>
      <c r="K93">
        <v>2</v>
      </c>
      <c r="L93" t="str">
        <v>Depository Receipts</v>
      </c>
      <c r="N93" t="str">
        <f t="shared" si="19"/>
        <v/>
      </c>
      <c r="Q93" s="34" t="str" cm="1">
        <f t="array" ref="Q93">IF(R89&gt;40,_xlfn.UNIQUE(Q57:Q88),"")</f>
        <v/>
      </c>
    </row>
    <row r="94" spans="9:19">
      <c r="I94" t="str">
        <v>Corporate Bond</v>
      </c>
      <c r="J94" t="str">
        <f t="shared" si="20"/>
        <v>Exists</v>
      </c>
      <c r="K94">
        <v>3</v>
      </c>
      <c r="L94" t="str">
        <v>Warrants</v>
      </c>
      <c r="N94" t="str">
        <f t="shared" si="19"/>
        <v/>
      </c>
    </row>
    <row r="95" spans="9:19">
      <c r="I95" t="str">
        <v>Government Bond</v>
      </c>
      <c r="J95" t="str">
        <f t="shared" si="20"/>
        <v>Exists</v>
      </c>
      <c r="K95">
        <v>4</v>
      </c>
      <c r="L95" t="str">
        <v>Preference Shares</v>
      </c>
      <c r="N95" t="str">
        <f t="shared" si="19"/>
        <v/>
      </c>
    </row>
    <row r="96" spans="9:19">
      <c r="I96" t="str">
        <v>Warrants</v>
      </c>
      <c r="J96" t="str">
        <f t="shared" si="20"/>
        <v>Exists</v>
      </c>
      <c r="K96">
        <v>5</v>
      </c>
      <c r="L96" t="str">
        <v>Equity Option</v>
      </c>
      <c r="N96" t="str">
        <f t="shared" si="19"/>
        <v/>
      </c>
    </row>
    <row r="97" spans="9:14">
      <c r="I97" t="str">
        <v>Credit Default Swap</v>
      </c>
      <c r="J97" t="str">
        <f t="shared" si="20"/>
        <v>Exists</v>
      </c>
      <c r="K97">
        <v>6</v>
      </c>
      <c r="L97" t="str">
        <v>Corporate Bonds</v>
      </c>
      <c r="N97" t="str">
        <f t="shared" si="19"/>
        <v/>
      </c>
    </row>
    <row r="98" spans="9:14">
      <c r="I98" t="str">
        <v>Preference Shares</v>
      </c>
      <c r="J98" t="str">
        <f t="shared" si="20"/>
        <v>Exists</v>
      </c>
      <c r="K98">
        <v>7</v>
      </c>
      <c r="L98" t="str">
        <v>Government Bonds</v>
      </c>
      <c r="N98" t="str">
        <f t="shared" si="19"/>
        <v/>
      </c>
    </row>
    <row r="99" spans="9:14">
      <c r="I99" t="str">
        <v>Equity Option</v>
      </c>
      <c r="J99" t="str">
        <f t="shared" si="20"/>
        <v>Exists</v>
      </c>
      <c r="K99">
        <v>8</v>
      </c>
      <c r="L99" t="str">
        <v>Exchange Traded Funds</v>
      </c>
      <c r="N99" t="str">
        <f t="shared" si="19"/>
        <v/>
      </c>
    </row>
    <row r="100" spans="9:14">
      <c r="I100" t="str">
        <v>Index Option</v>
      </c>
      <c r="J100" t="str">
        <f t="shared" si="20"/>
        <v>Exists</v>
      </c>
      <c r="K100">
        <v>9</v>
      </c>
      <c r="L100" t="str">
        <v>Index Option</v>
      </c>
      <c r="N100" t="str">
        <f t="shared" si="19"/>
        <v>Commodity Future</v>
      </c>
    </row>
    <row r="101" spans="9:14">
      <c r="I101" t="str">
        <v>Commodity Future</v>
      </c>
      <c r="J101" t="str">
        <f t="shared" si="20"/>
        <v>Missing</v>
      </c>
      <c r="K101">
        <v>10</v>
      </c>
      <c r="L101" t="str">
        <v>Index Futures</v>
      </c>
      <c r="N101" t="str">
        <f t="shared" si="19"/>
        <v>Bank Loan</v>
      </c>
    </row>
    <row r="102" spans="9:14">
      <c r="I102" t="str">
        <v>Bank Loan</v>
      </c>
      <c r="J102" t="str">
        <f t="shared" si="20"/>
        <v>Missing</v>
      </c>
      <c r="K102">
        <v>11</v>
      </c>
      <c r="L102" t="str">
        <v>Currency Forward</v>
      </c>
      <c r="N102" t="str">
        <f t="shared" si="19"/>
        <v/>
      </c>
    </row>
    <row r="103" spans="9:14">
      <c r="I103" t="str">
        <v>Equity Swap</v>
      </c>
      <c r="J103" t="str">
        <f t="shared" si="20"/>
        <v>Exists</v>
      </c>
      <c r="K103">
        <v>12</v>
      </c>
      <c r="L103" t="str">
        <v>Cash</v>
      </c>
      <c r="N103" t="str">
        <f t="shared" si="19"/>
        <v>Cash Balance</v>
      </c>
    </row>
    <row r="104" spans="9:14">
      <c r="I104" t="str">
        <v>Cash Balance</v>
      </c>
      <c r="J104" t="str">
        <f t="shared" si="20"/>
        <v>Missing</v>
      </c>
      <c r="N104" t="str">
        <f t="shared" si="19"/>
        <v/>
      </c>
    </row>
    <row r="105" spans="9:14">
      <c r="I105" t="str">
        <v>Currency Forward</v>
      </c>
      <c r="J105" t="str">
        <f t="shared" si="20"/>
        <v>Exists</v>
      </c>
      <c r="N105" t="str">
        <f t="shared" si="19"/>
        <v/>
      </c>
    </row>
    <row r="106" spans="9:14">
      <c r="I106" t="str">
        <v/>
      </c>
      <c r="J106" t="str">
        <f t="shared" si="20"/>
        <v>Missing</v>
      </c>
      <c r="N106">
        <f t="shared" si="19"/>
        <v>0</v>
      </c>
    </row>
    <row r="107" spans="9:14">
      <c r="J107" t="str">
        <f t="shared" si="20"/>
        <v>Missing</v>
      </c>
      <c r="N107">
        <f t="shared" si="19"/>
        <v>0</v>
      </c>
    </row>
    <row r="108" spans="9:14">
      <c r="J108" t="str">
        <f t="shared" si="20"/>
        <v>Missing</v>
      </c>
    </row>
    <row r="109" spans="9:14">
      <c r="J109" t="str">
        <f t="shared" si="20"/>
        <v>Missing</v>
      </c>
    </row>
    <row r="117" spans="12:14">
      <c r="M117" t="s">
        <v>339</v>
      </c>
      <c r="N117" t="s">
        <v>341</v>
      </c>
    </row>
    <row r="118" spans="12:14">
      <c r="L118" t="s">
        <v>332</v>
      </c>
      <c r="N118" t="str">
        <f>IF(L44="Exceeds Soft Limit", "Soft Limit Breached","")</f>
        <v>Soft Limit Breached</v>
      </c>
    </row>
    <row r="119" spans="12:14">
      <c r="L119" t="s">
        <v>333</v>
      </c>
      <c r="M119" t="str" cm="1">
        <f t="array" ref="M119:M120">_xlfn.UNIQUE(R32:R37)</f>
        <v/>
      </c>
    </row>
    <row r="120" spans="12:14">
      <c r="L120" t="s">
        <v>334</v>
      </c>
      <c r="M120">
        <v>0</v>
      </c>
    </row>
    <row r="121" spans="12:14">
      <c r="L121" t="s">
        <v>335</v>
      </c>
    </row>
    <row r="122" spans="12:14">
      <c r="L122" t="s">
        <v>336</v>
      </c>
    </row>
    <row r="123" spans="12:14">
      <c r="L123" t="s">
        <v>337</v>
      </c>
    </row>
    <row r="124" spans="12:14">
      <c r="L124" t="s">
        <v>338</v>
      </c>
    </row>
  </sheetData>
  <mergeCells count="1">
    <mergeCell ref="O10:P10"/>
  </mergeCells>
  <phoneticPr fontId="29" type="noConversion"/>
  <conditionalFormatting sqref="O7:P9 O10">
    <cfRule type="notContainsText" dxfId="38" priority="5" operator="notContains" text="Not">
      <formula>ISERROR(SEARCH("Not",O7))</formula>
    </cfRule>
    <cfRule type="containsText" dxfId="37" priority="6" operator="containsText" text="Not">
      <formula>NOT(ISERROR(SEARCH("Not",O7)))</formula>
    </cfRule>
  </conditionalFormatting>
  <conditionalFormatting sqref="O10">
    <cfRule type="notContainsText" dxfId="36" priority="2" operator="notContains" text="Not">
      <formula>ISERROR(SEARCH("Not",O10))</formula>
    </cfRule>
  </conditionalFormatting>
  <conditionalFormatting sqref="O7:P9 O10">
    <cfRule type="notContainsText" dxfId="35" priority="1" operator="notContains" text="Not">
      <formula>ISERROR(SEARCH("Not",O7))</formula>
    </cfRule>
  </conditionalFormatting>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61DBE-EBD0-4688-8F20-EAA24E4435C5}">
  <sheetPr codeName="Sheet16">
    <outlinePr summaryBelow="0" summaryRight="0"/>
  </sheetPr>
  <dimension ref="A1:AQ87"/>
  <sheetViews>
    <sheetView showGridLines="0" zoomScale="70" zoomScaleNormal="70" workbookViewId="0">
      <pane ySplit="2" topLeftCell="A3" activePane="bottomLeft" state="frozen"/>
      <selection pane="bottomLeft" activeCell="C12" sqref="C12"/>
    </sheetView>
  </sheetViews>
  <sheetFormatPr defaultColWidth="13.44140625" defaultRowHeight="14.4"/>
  <cols>
    <col min="1" max="1" width="36.77734375" style="4" customWidth="1"/>
    <col min="2" max="2" width="13.44140625" style="4" customWidth="1"/>
    <col min="3" max="3" width="27.44140625" style="4" customWidth="1"/>
    <col min="4" max="4" width="14.44140625" style="4" customWidth="1"/>
    <col min="5" max="5" width="17.44140625" style="4" customWidth="1"/>
    <col min="6" max="6" width="34.44140625" style="4" customWidth="1"/>
    <col min="7" max="7" width="15" style="4" customWidth="1"/>
    <col min="8" max="8" width="21.77734375" style="4" customWidth="1"/>
    <col min="9" max="9" width="27.77734375" style="4" customWidth="1"/>
    <col min="10" max="10" width="17.21875" style="4" customWidth="1"/>
    <col min="11" max="11" width="16.44140625" style="4" customWidth="1"/>
    <col min="12" max="12" width="18.44140625" style="4" bestFit="1" customWidth="1"/>
    <col min="13" max="14" width="31.5546875" style="4" bestFit="1" customWidth="1"/>
    <col min="15" max="16" width="21.44140625" style="4" bestFit="1" customWidth="1"/>
    <col min="17" max="17" width="16.44140625" style="85" bestFit="1" customWidth="1"/>
    <col min="18" max="18" width="22.6640625" style="85" customWidth="1"/>
    <col min="19" max="19" width="17.33203125" style="85" customWidth="1"/>
    <col min="20" max="20" width="23.109375" style="85" customWidth="1"/>
    <col min="21" max="21" width="30.21875" style="85" bestFit="1" customWidth="1"/>
    <col min="22" max="22" width="24.44140625" style="85" customWidth="1"/>
    <col min="23" max="23" width="17" style="85" bestFit="1" customWidth="1"/>
    <col min="24" max="24" width="13.77734375" style="4" bestFit="1" customWidth="1"/>
    <col min="25" max="25" width="20.44140625" style="4" bestFit="1" customWidth="1"/>
    <col min="26" max="26" width="13.21875" style="4" customWidth="1"/>
    <col min="27" max="27" width="27.5546875" style="4" bestFit="1" customWidth="1"/>
    <col min="28" max="28" width="36.44140625" style="4" bestFit="1" customWidth="1"/>
    <col min="29" max="29" width="20.44140625" style="4" bestFit="1" customWidth="1"/>
    <col min="30" max="30" width="22.44140625" style="4" bestFit="1" customWidth="1"/>
    <col min="31" max="16384" width="13.44140625" style="4"/>
  </cols>
  <sheetData>
    <row r="1" spans="1:43" ht="88.05" customHeight="1">
      <c r="A1" s="164"/>
    </row>
    <row r="2" spans="1:43">
      <c r="A2" s="164"/>
      <c r="B2" s="110" t="s">
        <v>48</v>
      </c>
      <c r="C2" s="111" t="s">
        <v>50</v>
      </c>
      <c r="D2" s="111" t="s">
        <v>19</v>
      </c>
      <c r="E2" s="111" t="s">
        <v>53</v>
      </c>
      <c r="F2" s="111" t="s">
        <v>55</v>
      </c>
      <c r="G2" s="111" t="s">
        <v>57</v>
      </c>
      <c r="H2" s="111" t="s">
        <v>59</v>
      </c>
      <c r="I2" s="111" t="s">
        <v>92</v>
      </c>
      <c r="J2" s="111" t="s">
        <v>63</v>
      </c>
      <c r="K2" s="111" t="s">
        <v>65</v>
      </c>
      <c r="L2" s="111" t="s">
        <v>32</v>
      </c>
      <c r="M2" s="111" t="s">
        <v>67</v>
      </c>
      <c r="N2" s="111" t="s">
        <v>69</v>
      </c>
      <c r="O2" s="111" t="s">
        <v>93</v>
      </c>
      <c r="P2" s="111" t="s">
        <v>70</v>
      </c>
      <c r="Q2" s="112" t="s">
        <v>72</v>
      </c>
      <c r="R2" s="112" t="s">
        <v>74</v>
      </c>
      <c r="S2" s="112" t="s">
        <v>76</v>
      </c>
      <c r="T2" s="112" t="s">
        <v>78</v>
      </c>
      <c r="U2" s="112" t="s">
        <v>80</v>
      </c>
      <c r="V2" s="112" t="s">
        <v>82</v>
      </c>
      <c r="W2" s="112" t="s">
        <v>84</v>
      </c>
      <c r="X2" s="111" t="s">
        <v>86</v>
      </c>
      <c r="Y2" s="111" t="s">
        <v>88</v>
      </c>
      <c r="Z2" s="113" t="s">
        <v>94</v>
      </c>
      <c r="AA2" s="113" t="s">
        <v>90</v>
      </c>
      <c r="AB2" s="113" t="s">
        <v>95</v>
      </c>
      <c r="AC2" s="113" t="s">
        <v>96</v>
      </c>
      <c r="AD2" s="113" t="s">
        <v>97</v>
      </c>
      <c r="AE2" s="109"/>
      <c r="AF2" s="88"/>
      <c r="AQ2" s="5"/>
    </row>
    <row r="3" spans="1:43">
      <c r="A3" s="164"/>
      <c r="B3" s="120">
        <v>45503</v>
      </c>
      <c r="C3" s="67" t="s">
        <v>98</v>
      </c>
      <c r="D3" s="67" t="s">
        <v>99</v>
      </c>
      <c r="E3" s="67" t="s">
        <v>100</v>
      </c>
      <c r="F3" s="67" t="s">
        <v>101</v>
      </c>
      <c r="G3" s="67" t="s">
        <v>102</v>
      </c>
      <c r="H3" s="67" t="s">
        <v>103</v>
      </c>
      <c r="I3" s="67" t="s">
        <v>104</v>
      </c>
      <c r="J3" s="67" t="s">
        <v>103</v>
      </c>
      <c r="K3" s="67" t="s">
        <v>105</v>
      </c>
      <c r="L3" s="67" t="s">
        <v>33</v>
      </c>
      <c r="M3" s="67" t="s">
        <v>106</v>
      </c>
      <c r="N3" s="67" t="s">
        <v>106</v>
      </c>
      <c r="O3" s="67" t="s">
        <v>107</v>
      </c>
      <c r="P3" s="67" t="s">
        <v>108</v>
      </c>
      <c r="Q3" s="89">
        <f>430621</f>
        <v>430621</v>
      </c>
      <c r="R3" s="89">
        <v>124.14</v>
      </c>
      <c r="S3" s="89">
        <v>0.12</v>
      </c>
      <c r="T3" s="124">
        <f t="shared" ref="T3:T9" si="0">Q3*R3</f>
        <v>53457290.939999998</v>
      </c>
      <c r="U3" s="124">
        <v>110.12</v>
      </c>
      <c r="V3" s="124">
        <f t="shared" ref="V3:V9" si="1">Q3*(R3-U3)</f>
        <v>6037306.4199999981</v>
      </c>
      <c r="W3" s="89">
        <f t="shared" ref="W3:W46" si="2">SUM($T$3:$T$993)</f>
        <v>616409344.72084987</v>
      </c>
      <c r="X3" s="67" t="s">
        <v>109</v>
      </c>
      <c r="Y3" s="67" t="s">
        <v>110</v>
      </c>
      <c r="Z3" s="67" t="s">
        <v>103</v>
      </c>
      <c r="AA3" s="67" t="s">
        <v>103</v>
      </c>
      <c r="AB3" s="67" t="s">
        <v>103</v>
      </c>
      <c r="AC3" s="67" t="s">
        <v>103</v>
      </c>
      <c r="AD3" s="67" t="s">
        <v>103</v>
      </c>
      <c r="AE3" s="97"/>
      <c r="AF3" s="90"/>
      <c r="AQ3" s="5"/>
    </row>
    <row r="4" spans="1:43">
      <c r="A4" s="164"/>
      <c r="B4" s="121">
        <v>45503</v>
      </c>
      <c r="C4" s="68" t="s">
        <v>98</v>
      </c>
      <c r="D4" s="68" t="s">
        <v>99</v>
      </c>
      <c r="E4" s="68" t="s">
        <v>100</v>
      </c>
      <c r="F4" s="68" t="s">
        <v>111</v>
      </c>
      <c r="G4" s="68" t="s">
        <v>112</v>
      </c>
      <c r="H4" s="68" t="s">
        <v>103</v>
      </c>
      <c r="I4" s="68" t="s">
        <v>113</v>
      </c>
      <c r="J4" s="68" t="s">
        <v>103</v>
      </c>
      <c r="K4" s="68" t="s">
        <v>105</v>
      </c>
      <c r="L4" s="68" t="s">
        <v>33</v>
      </c>
      <c r="M4" s="68" t="s">
        <v>114</v>
      </c>
      <c r="N4" s="68" t="s">
        <v>114</v>
      </c>
      <c r="O4" s="68" t="s">
        <v>107</v>
      </c>
      <c r="P4" s="68" t="s">
        <v>115</v>
      </c>
      <c r="Q4" s="91">
        <f>-3207104*0.02</f>
        <v>-64142.080000000002</v>
      </c>
      <c r="R4" s="91">
        <v>75.22</v>
      </c>
      <c r="S4" s="91">
        <v>0.92</v>
      </c>
      <c r="T4" s="125">
        <f t="shared" si="0"/>
        <v>-4824767.2576000001</v>
      </c>
      <c r="U4" s="125">
        <v>73.2</v>
      </c>
      <c r="V4" s="125">
        <f t="shared" si="1"/>
        <v>-129567.00159999974</v>
      </c>
      <c r="W4" s="91">
        <f t="shared" si="2"/>
        <v>616409344.72084987</v>
      </c>
      <c r="X4" s="68" t="s">
        <v>116</v>
      </c>
      <c r="Y4" s="68" t="s">
        <v>117</v>
      </c>
      <c r="Z4" s="68" t="s">
        <v>103</v>
      </c>
      <c r="AA4" s="68" t="s">
        <v>103</v>
      </c>
      <c r="AB4" s="68" t="s">
        <v>103</v>
      </c>
      <c r="AC4" s="68" t="s">
        <v>103</v>
      </c>
      <c r="AD4" s="68" t="s">
        <v>103</v>
      </c>
      <c r="AE4" s="99"/>
      <c r="AF4" s="92"/>
      <c r="AQ4" s="5"/>
    </row>
    <row r="5" spans="1:43">
      <c r="A5" s="164"/>
      <c r="B5" s="120">
        <v>45503</v>
      </c>
      <c r="C5" s="67" t="s">
        <v>98</v>
      </c>
      <c r="D5" s="67" t="s">
        <v>99</v>
      </c>
      <c r="E5" s="67" t="s">
        <v>100</v>
      </c>
      <c r="F5" s="67" t="s">
        <v>118</v>
      </c>
      <c r="G5" s="67" t="s">
        <v>102</v>
      </c>
      <c r="H5" s="67" t="s">
        <v>103</v>
      </c>
      <c r="I5" s="67" t="s">
        <v>119</v>
      </c>
      <c r="J5" s="67" t="s">
        <v>103</v>
      </c>
      <c r="K5" s="67" t="s">
        <v>105</v>
      </c>
      <c r="L5" s="67" t="s">
        <v>34</v>
      </c>
      <c r="M5" s="67" t="s">
        <v>120</v>
      </c>
      <c r="N5" s="67" t="s">
        <v>121</v>
      </c>
      <c r="O5" s="67" t="s">
        <v>107</v>
      </c>
      <c r="P5" s="67" t="s">
        <v>122</v>
      </c>
      <c r="Q5" s="89">
        <f>14226329*0.008</f>
        <v>113810.632</v>
      </c>
      <c r="R5" s="89">
        <v>598.15</v>
      </c>
      <c r="S5" s="89">
        <v>6.7000000000000004E-2</v>
      </c>
      <c r="T5" s="124">
        <f t="shared" si="0"/>
        <v>68075829.5308</v>
      </c>
      <c r="U5" s="124">
        <v>596.33000000000004</v>
      </c>
      <c r="V5" s="124">
        <f t="shared" si="1"/>
        <v>207135.35023999275</v>
      </c>
      <c r="W5" s="89">
        <f t="shared" si="2"/>
        <v>616409344.72084987</v>
      </c>
      <c r="X5" s="67" t="s">
        <v>109</v>
      </c>
      <c r="Y5" s="67" t="s">
        <v>110</v>
      </c>
      <c r="Z5" s="67" t="s">
        <v>103</v>
      </c>
      <c r="AA5" s="67" t="s">
        <v>103</v>
      </c>
      <c r="AB5" s="69" t="s">
        <v>123</v>
      </c>
      <c r="AC5" s="67" t="s">
        <v>105</v>
      </c>
      <c r="AD5" s="67" t="s">
        <v>33</v>
      </c>
      <c r="AE5" s="97"/>
      <c r="AF5" s="90"/>
    </row>
    <row r="6" spans="1:43">
      <c r="A6" s="164"/>
      <c r="B6" s="121">
        <v>45503</v>
      </c>
      <c r="C6" s="68" t="s">
        <v>98</v>
      </c>
      <c r="D6" s="68" t="s">
        <v>99</v>
      </c>
      <c r="E6" s="68" t="s">
        <v>100</v>
      </c>
      <c r="F6" s="68" t="s">
        <v>124</v>
      </c>
      <c r="G6" s="68" t="s">
        <v>102</v>
      </c>
      <c r="H6" s="68" t="s">
        <v>103</v>
      </c>
      <c r="I6" s="68" t="s">
        <v>100</v>
      </c>
      <c r="J6" s="70">
        <v>47253</v>
      </c>
      <c r="K6" s="68" t="s">
        <v>125</v>
      </c>
      <c r="L6" s="68" t="s">
        <v>126</v>
      </c>
      <c r="M6" s="68" t="s">
        <v>127</v>
      </c>
      <c r="N6" s="68" t="s">
        <v>128</v>
      </c>
      <c r="O6" s="68" t="s">
        <v>107</v>
      </c>
      <c r="P6" s="68" t="s">
        <v>129</v>
      </c>
      <c r="Q6" s="91">
        <v>232396.5</v>
      </c>
      <c r="R6" s="91">
        <v>100.09</v>
      </c>
      <c r="S6" s="91">
        <v>1</v>
      </c>
      <c r="T6" s="125">
        <f t="shared" si="0"/>
        <v>23260565.685000002</v>
      </c>
      <c r="U6" s="125">
        <v>100.4</v>
      </c>
      <c r="V6" s="125">
        <f t="shared" si="1"/>
        <v>-72042.915000000532</v>
      </c>
      <c r="W6" s="91">
        <f t="shared" si="2"/>
        <v>616409344.72084987</v>
      </c>
      <c r="X6" s="68" t="s">
        <v>130</v>
      </c>
      <c r="Y6" s="68" t="s">
        <v>117</v>
      </c>
      <c r="Z6" s="71">
        <v>4.5999999999999999E-2</v>
      </c>
      <c r="AA6" s="68">
        <v>54195500</v>
      </c>
      <c r="AB6" s="68" t="s">
        <v>103</v>
      </c>
      <c r="AC6" s="68" t="s">
        <v>103</v>
      </c>
      <c r="AD6" s="68" t="s">
        <v>103</v>
      </c>
      <c r="AE6" s="99"/>
      <c r="AF6" s="92"/>
    </row>
    <row r="7" spans="1:43">
      <c r="A7" s="164"/>
      <c r="B7" s="120">
        <v>45503</v>
      </c>
      <c r="C7" s="67" t="s">
        <v>98</v>
      </c>
      <c r="D7" s="67" t="s">
        <v>99</v>
      </c>
      <c r="E7" s="67" t="s">
        <v>100</v>
      </c>
      <c r="F7" s="67" t="s">
        <v>131</v>
      </c>
      <c r="G7" s="67" t="s">
        <v>102</v>
      </c>
      <c r="H7" s="67" t="s">
        <v>103</v>
      </c>
      <c r="I7" s="67" t="s">
        <v>113</v>
      </c>
      <c r="J7" s="72">
        <v>49095</v>
      </c>
      <c r="K7" s="67" t="s">
        <v>125</v>
      </c>
      <c r="L7" s="67" t="s">
        <v>132</v>
      </c>
      <c r="M7" s="67" t="s">
        <v>133</v>
      </c>
      <c r="N7" s="67" t="s">
        <v>134</v>
      </c>
      <c r="O7" s="67" t="s">
        <v>135</v>
      </c>
      <c r="P7" s="67" t="s">
        <v>115</v>
      </c>
      <c r="Q7" s="89">
        <v>250731.25</v>
      </c>
      <c r="R7" s="89">
        <v>96.78</v>
      </c>
      <c r="S7" s="89">
        <v>0.92</v>
      </c>
      <c r="T7" s="124">
        <f t="shared" si="0"/>
        <v>24265770.375</v>
      </c>
      <c r="U7" s="124">
        <v>94.3</v>
      </c>
      <c r="V7" s="124">
        <f t="shared" si="1"/>
        <v>621813.50000000105</v>
      </c>
      <c r="W7" s="89">
        <f t="shared" si="2"/>
        <v>616409344.72084987</v>
      </c>
      <c r="X7" s="67" t="s">
        <v>116</v>
      </c>
      <c r="Y7" s="67" t="s">
        <v>117</v>
      </c>
      <c r="Z7" s="73">
        <v>2.4E-2</v>
      </c>
      <c r="AA7" s="67">
        <f>Q7/0.001</f>
        <v>250731250</v>
      </c>
      <c r="AB7" s="67" t="s">
        <v>103</v>
      </c>
      <c r="AC7" s="67" t="s">
        <v>103</v>
      </c>
      <c r="AD7" s="67" t="s">
        <v>103</v>
      </c>
      <c r="AE7" s="97"/>
      <c r="AF7" s="90"/>
      <c r="AQ7" s="5"/>
    </row>
    <row r="8" spans="1:43">
      <c r="A8" s="164"/>
      <c r="B8" s="121">
        <v>45503</v>
      </c>
      <c r="C8" s="68" t="s">
        <v>98</v>
      </c>
      <c r="D8" s="68" t="s">
        <v>99</v>
      </c>
      <c r="E8" s="68" t="s">
        <v>100</v>
      </c>
      <c r="F8" s="68" t="s">
        <v>136</v>
      </c>
      <c r="G8" s="68" t="s">
        <v>102</v>
      </c>
      <c r="H8" s="68" t="s">
        <v>103</v>
      </c>
      <c r="I8" s="68" t="s">
        <v>137</v>
      </c>
      <c r="J8" s="68" t="s">
        <v>103</v>
      </c>
      <c r="K8" s="68" t="s">
        <v>105</v>
      </c>
      <c r="L8" s="68" t="s">
        <v>33</v>
      </c>
      <c r="M8" s="68" t="s">
        <v>138</v>
      </c>
      <c r="N8" s="68" t="s">
        <v>139</v>
      </c>
      <c r="O8" s="68" t="s">
        <v>107</v>
      </c>
      <c r="P8" s="68" t="s">
        <v>140</v>
      </c>
      <c r="Q8" s="91">
        <v>179604.25</v>
      </c>
      <c r="R8" s="91">
        <v>849.12</v>
      </c>
      <c r="S8" s="91">
        <v>7.0000000000000001E-3</v>
      </c>
      <c r="T8" s="125">
        <f t="shared" si="0"/>
        <v>152505560.75999999</v>
      </c>
      <c r="U8" s="125">
        <v>870.26</v>
      </c>
      <c r="V8" s="125">
        <f t="shared" si="1"/>
        <v>-3796833.8449999974</v>
      </c>
      <c r="W8" s="91">
        <f t="shared" si="2"/>
        <v>616409344.72084987</v>
      </c>
      <c r="X8" s="68" t="s">
        <v>109</v>
      </c>
      <c r="Y8" s="68" t="s">
        <v>110</v>
      </c>
      <c r="Z8" s="68" t="s">
        <v>103</v>
      </c>
      <c r="AA8" s="68" t="s">
        <v>103</v>
      </c>
      <c r="AB8" s="68" t="s">
        <v>103</v>
      </c>
      <c r="AC8" s="68" t="s">
        <v>103</v>
      </c>
      <c r="AD8" s="68" t="s">
        <v>103</v>
      </c>
      <c r="AE8" s="99"/>
      <c r="AF8" s="92"/>
      <c r="AQ8" s="5"/>
    </row>
    <row r="9" spans="1:43">
      <c r="A9" s="164"/>
      <c r="B9" s="120">
        <v>45503</v>
      </c>
      <c r="C9" s="67" t="s">
        <v>98</v>
      </c>
      <c r="D9" s="67" t="s">
        <v>99</v>
      </c>
      <c r="E9" s="67" t="s">
        <v>100</v>
      </c>
      <c r="F9" s="67" t="s">
        <v>141</v>
      </c>
      <c r="G9" s="67" t="s">
        <v>102</v>
      </c>
      <c r="H9" s="67" t="s">
        <v>103</v>
      </c>
      <c r="I9" s="67" t="s">
        <v>100</v>
      </c>
      <c r="J9" s="72">
        <v>46234</v>
      </c>
      <c r="K9" s="67" t="s">
        <v>105</v>
      </c>
      <c r="L9" s="67" t="s">
        <v>35</v>
      </c>
      <c r="M9" s="67" t="s">
        <v>142</v>
      </c>
      <c r="N9" s="67" t="s">
        <v>142</v>
      </c>
      <c r="O9" s="67" t="s">
        <v>107</v>
      </c>
      <c r="P9" s="67" t="s">
        <v>143</v>
      </c>
      <c r="Q9" s="89">
        <v>2550578.25</v>
      </c>
      <c r="R9" s="89">
        <v>0.9</v>
      </c>
      <c r="S9" s="89">
        <v>1</v>
      </c>
      <c r="T9" s="124">
        <f t="shared" si="0"/>
        <v>2295520.4250000003</v>
      </c>
      <c r="U9" s="124">
        <v>0.91</v>
      </c>
      <c r="V9" s="124">
        <f t="shared" si="1"/>
        <v>-25505.782500000023</v>
      </c>
      <c r="W9" s="89">
        <f t="shared" si="2"/>
        <v>616409344.72084987</v>
      </c>
      <c r="X9" s="67" t="s">
        <v>130</v>
      </c>
      <c r="Y9" s="67" t="s">
        <v>117</v>
      </c>
      <c r="Z9" s="67" t="s">
        <v>103</v>
      </c>
      <c r="AA9" s="67" t="s">
        <v>103</v>
      </c>
      <c r="AB9" s="67" t="s">
        <v>144</v>
      </c>
      <c r="AC9" s="67" t="s">
        <v>105</v>
      </c>
      <c r="AD9" s="67" t="s">
        <v>33</v>
      </c>
      <c r="AE9" s="97"/>
      <c r="AF9" s="90"/>
    </row>
    <row r="10" spans="1:43">
      <c r="A10" s="164"/>
      <c r="B10" s="121">
        <v>45503</v>
      </c>
      <c r="C10" s="68" t="s">
        <v>98</v>
      </c>
      <c r="D10" s="68" t="s">
        <v>99</v>
      </c>
      <c r="E10" s="68" t="s">
        <v>100</v>
      </c>
      <c r="F10" s="68" t="s">
        <v>145</v>
      </c>
      <c r="G10" s="68" t="s">
        <v>102</v>
      </c>
      <c r="H10" s="68" t="s">
        <v>146</v>
      </c>
      <c r="I10" s="68" t="s">
        <v>113</v>
      </c>
      <c r="J10" s="70">
        <v>45646</v>
      </c>
      <c r="K10" s="68" t="s">
        <v>147</v>
      </c>
      <c r="L10" s="68" t="s">
        <v>148</v>
      </c>
      <c r="M10" s="68" t="s">
        <v>28</v>
      </c>
      <c r="N10" s="68" t="s">
        <v>28</v>
      </c>
      <c r="O10" s="68" t="s">
        <v>103</v>
      </c>
      <c r="P10" s="68" t="s">
        <v>115</v>
      </c>
      <c r="Q10" s="91">
        <v>5991000</v>
      </c>
      <c r="R10" s="91">
        <v>34.119999999999997</v>
      </c>
      <c r="S10" s="91">
        <v>0.92</v>
      </c>
      <c r="T10" s="125">
        <f>V10</f>
        <v>-119820</v>
      </c>
      <c r="U10" s="125">
        <v>36.119999999999997</v>
      </c>
      <c r="V10" s="125">
        <f>Q10*(R10-U10)/100</f>
        <v>-119820</v>
      </c>
      <c r="W10" s="91">
        <f t="shared" si="2"/>
        <v>616409344.72084987</v>
      </c>
      <c r="X10" s="68" t="s">
        <v>116</v>
      </c>
      <c r="Y10" s="68" t="s">
        <v>117</v>
      </c>
      <c r="Z10" s="74">
        <v>4.2999999999999997E-2</v>
      </c>
      <c r="AA10" s="68" t="s">
        <v>103</v>
      </c>
      <c r="AB10" s="68" t="s">
        <v>149</v>
      </c>
      <c r="AC10" s="68" t="s">
        <v>125</v>
      </c>
      <c r="AD10" s="68" t="s">
        <v>150</v>
      </c>
      <c r="AE10" s="99"/>
      <c r="AF10" s="92"/>
    </row>
    <row r="11" spans="1:43">
      <c r="A11" s="164"/>
      <c r="B11" s="120">
        <v>45503</v>
      </c>
      <c r="C11" s="67" t="s">
        <v>98</v>
      </c>
      <c r="D11" s="67" t="s">
        <v>99</v>
      </c>
      <c r="E11" s="67" t="s">
        <v>100</v>
      </c>
      <c r="F11" s="67" t="s">
        <v>151</v>
      </c>
      <c r="G11" s="67" t="s">
        <v>112</v>
      </c>
      <c r="H11" s="67" t="s">
        <v>103</v>
      </c>
      <c r="I11" s="67" t="s">
        <v>100</v>
      </c>
      <c r="J11" s="72">
        <v>49125</v>
      </c>
      <c r="K11" s="67" t="s">
        <v>125</v>
      </c>
      <c r="L11" s="67" t="s">
        <v>126</v>
      </c>
      <c r="M11" s="67" t="s">
        <v>152</v>
      </c>
      <c r="N11" s="67" t="s">
        <v>152</v>
      </c>
      <c r="O11" s="67" t="s">
        <v>107</v>
      </c>
      <c r="P11" s="67" t="s">
        <v>153</v>
      </c>
      <c r="Q11" s="89">
        <v>-262708.25</v>
      </c>
      <c r="R11" s="89">
        <v>107.83</v>
      </c>
      <c r="S11" s="89">
        <v>1</v>
      </c>
      <c r="T11" s="124">
        <f t="shared" ref="T11:T12" si="3">Q11*R11</f>
        <v>-28327830.5975</v>
      </c>
      <c r="U11" s="124">
        <v>107.2</v>
      </c>
      <c r="V11" s="124">
        <f t="shared" ref="V11:V12" si="4">Q11*(R11-U11)</f>
        <v>-165506.19749999882</v>
      </c>
      <c r="W11" s="89">
        <f t="shared" si="2"/>
        <v>616409344.72084987</v>
      </c>
      <c r="X11" s="67" t="s">
        <v>130</v>
      </c>
      <c r="Y11" s="67" t="s">
        <v>117</v>
      </c>
      <c r="Z11" s="73">
        <v>2.9000000000000001E-2</v>
      </c>
      <c r="AA11" s="67">
        <v>6567700</v>
      </c>
      <c r="AB11" s="67" t="s">
        <v>103</v>
      </c>
      <c r="AC11" s="67" t="s">
        <v>103</v>
      </c>
      <c r="AD11" s="67" t="s">
        <v>103</v>
      </c>
      <c r="AE11" s="97"/>
      <c r="AF11" s="90"/>
      <c r="AQ11" s="5"/>
    </row>
    <row r="12" spans="1:43">
      <c r="A12" s="164"/>
      <c r="B12" s="121">
        <v>45503</v>
      </c>
      <c r="C12" s="68" t="s">
        <v>98</v>
      </c>
      <c r="D12" s="68" t="s">
        <v>99</v>
      </c>
      <c r="E12" s="68" t="s">
        <v>100</v>
      </c>
      <c r="F12" s="68" t="s">
        <v>154</v>
      </c>
      <c r="G12" s="68" t="s">
        <v>102</v>
      </c>
      <c r="H12" s="68" t="s">
        <v>103</v>
      </c>
      <c r="I12" s="68" t="s">
        <v>100</v>
      </c>
      <c r="J12" s="68" t="s">
        <v>103</v>
      </c>
      <c r="K12" s="68" t="s">
        <v>105</v>
      </c>
      <c r="L12" s="68" t="s">
        <v>36</v>
      </c>
      <c r="M12" s="68" t="s">
        <v>155</v>
      </c>
      <c r="N12" s="68" t="s">
        <v>155</v>
      </c>
      <c r="O12" s="68" t="s">
        <v>107</v>
      </c>
      <c r="P12" s="68" t="s">
        <v>115</v>
      </c>
      <c r="Q12" s="91">
        <v>96000</v>
      </c>
      <c r="R12" s="91">
        <v>4.6500000000000004</v>
      </c>
      <c r="S12" s="91">
        <v>0.92</v>
      </c>
      <c r="T12" s="125">
        <f t="shared" si="3"/>
        <v>446400.00000000006</v>
      </c>
      <c r="U12" s="125">
        <v>4.2</v>
      </c>
      <c r="V12" s="125">
        <f t="shared" si="4"/>
        <v>43200.000000000015</v>
      </c>
      <c r="W12" s="91">
        <f t="shared" si="2"/>
        <v>616409344.72084987</v>
      </c>
      <c r="X12" s="68" t="s">
        <v>116</v>
      </c>
      <c r="Y12" s="68" t="s">
        <v>117</v>
      </c>
      <c r="Z12" s="68" t="s">
        <v>103</v>
      </c>
      <c r="AA12" s="68" t="s">
        <v>103</v>
      </c>
      <c r="AB12" s="68" t="s">
        <v>103</v>
      </c>
      <c r="AC12" s="68" t="s">
        <v>103</v>
      </c>
      <c r="AD12" s="68" t="s">
        <v>103</v>
      </c>
      <c r="AE12" s="99"/>
      <c r="AF12" s="92"/>
    </row>
    <row r="13" spans="1:43">
      <c r="A13" s="164"/>
      <c r="B13" s="120">
        <v>45503</v>
      </c>
      <c r="C13" s="67" t="s">
        <v>98</v>
      </c>
      <c r="D13" s="67" t="s">
        <v>99</v>
      </c>
      <c r="E13" s="67" t="s">
        <v>100</v>
      </c>
      <c r="F13" s="67" t="s">
        <v>156</v>
      </c>
      <c r="G13" s="67" t="s">
        <v>102</v>
      </c>
      <c r="H13" s="67" t="s">
        <v>157</v>
      </c>
      <c r="I13" s="67" t="s">
        <v>113</v>
      </c>
      <c r="J13" s="72">
        <v>45709</v>
      </c>
      <c r="K13" s="67" t="s">
        <v>147</v>
      </c>
      <c r="L13" s="67" t="s">
        <v>148</v>
      </c>
      <c r="M13" s="67" t="s">
        <v>28</v>
      </c>
      <c r="N13" s="67" t="s">
        <v>28</v>
      </c>
      <c r="O13" s="67" t="s">
        <v>103</v>
      </c>
      <c r="P13" s="67" t="s">
        <v>115</v>
      </c>
      <c r="Q13" s="89">
        <v>7655432</v>
      </c>
      <c r="R13" s="89">
        <v>42.76</v>
      </c>
      <c r="S13" s="89">
        <v>0.92</v>
      </c>
      <c r="T13" s="124">
        <f>V13</f>
        <v>154639.72639999969</v>
      </c>
      <c r="U13" s="124">
        <v>40.74</v>
      </c>
      <c r="V13" s="124">
        <f>Q13*(R13-U13)/100</f>
        <v>154639.72639999969</v>
      </c>
      <c r="W13" s="89">
        <f t="shared" si="2"/>
        <v>616409344.72084987</v>
      </c>
      <c r="X13" s="67" t="s">
        <v>130</v>
      </c>
      <c r="Y13" s="67" t="s">
        <v>117</v>
      </c>
      <c r="Z13" s="75">
        <v>4.3999999999999997E-2</v>
      </c>
      <c r="AA13" s="67" t="s">
        <v>103</v>
      </c>
      <c r="AB13" s="67" t="s">
        <v>158</v>
      </c>
      <c r="AC13" s="67" t="s">
        <v>125</v>
      </c>
      <c r="AD13" s="67" t="s">
        <v>159</v>
      </c>
      <c r="AE13" s="97"/>
      <c r="AF13" s="90"/>
    </row>
    <row r="14" spans="1:43">
      <c r="A14" s="164"/>
      <c r="B14" s="121">
        <v>45503</v>
      </c>
      <c r="C14" s="68" t="s">
        <v>98</v>
      </c>
      <c r="D14" s="68" t="s">
        <v>99</v>
      </c>
      <c r="E14" s="68" t="s">
        <v>100</v>
      </c>
      <c r="F14" s="68" t="s">
        <v>160</v>
      </c>
      <c r="G14" s="68" t="s">
        <v>102</v>
      </c>
      <c r="H14" s="68" t="s">
        <v>103</v>
      </c>
      <c r="I14" s="68" t="s">
        <v>113</v>
      </c>
      <c r="J14" s="70">
        <v>46295</v>
      </c>
      <c r="K14" s="68" t="s">
        <v>125</v>
      </c>
      <c r="L14" s="68" t="s">
        <v>126</v>
      </c>
      <c r="M14" s="68" t="s">
        <v>161</v>
      </c>
      <c r="N14" s="68" t="s">
        <v>161</v>
      </c>
      <c r="O14" s="68" t="s">
        <v>107</v>
      </c>
      <c r="P14" s="68" t="s">
        <v>115</v>
      </c>
      <c r="Q14" s="91">
        <v>265431.25</v>
      </c>
      <c r="R14" s="91">
        <v>109.23</v>
      </c>
      <c r="S14" s="91">
        <v>0.92</v>
      </c>
      <c r="T14" s="125">
        <f t="shared" ref="T14:T22" si="5">Q14*R14</f>
        <v>28993055.4375</v>
      </c>
      <c r="U14" s="125">
        <v>109.4</v>
      </c>
      <c r="V14" s="125">
        <f t="shared" ref="V14:V37" si="6">Q14*(R14-U14)</f>
        <v>-45123.312500000451</v>
      </c>
      <c r="W14" s="91">
        <f t="shared" si="2"/>
        <v>616409344.72084987</v>
      </c>
      <c r="X14" s="68" t="s">
        <v>116</v>
      </c>
      <c r="Y14" s="68" t="s">
        <v>117</v>
      </c>
      <c r="Z14" s="71">
        <v>4.4999999999999998E-2</v>
      </c>
      <c r="AA14" s="68">
        <v>8538000</v>
      </c>
      <c r="AB14" s="68" t="s">
        <v>103</v>
      </c>
      <c r="AC14" s="68" t="s">
        <v>103</v>
      </c>
      <c r="AD14" s="68" t="s">
        <v>103</v>
      </c>
      <c r="AE14" s="99"/>
      <c r="AF14" s="92"/>
    </row>
    <row r="15" spans="1:43">
      <c r="A15" s="164"/>
      <c r="B15" s="120">
        <v>45503</v>
      </c>
      <c r="C15" s="67" t="s">
        <v>98</v>
      </c>
      <c r="D15" s="67" t="s">
        <v>99</v>
      </c>
      <c r="E15" s="67" t="s">
        <v>100</v>
      </c>
      <c r="F15" s="67" t="s">
        <v>162</v>
      </c>
      <c r="G15" s="67" t="s">
        <v>112</v>
      </c>
      <c r="H15" s="67" t="s">
        <v>163</v>
      </c>
      <c r="I15" s="67" t="s">
        <v>113</v>
      </c>
      <c r="J15" s="72">
        <v>45562</v>
      </c>
      <c r="K15" s="67" t="s">
        <v>164</v>
      </c>
      <c r="L15" s="67" t="s">
        <v>37</v>
      </c>
      <c r="M15" s="67" t="s">
        <v>165</v>
      </c>
      <c r="N15" s="67" t="s">
        <v>166</v>
      </c>
      <c r="O15" s="67" t="s">
        <v>103</v>
      </c>
      <c r="P15" s="67" t="s">
        <v>115</v>
      </c>
      <c r="Q15" s="89">
        <v>2767113.75</v>
      </c>
      <c r="R15" s="89">
        <v>2.4</v>
      </c>
      <c r="S15" s="89">
        <v>0.92</v>
      </c>
      <c r="T15" s="124">
        <f t="shared" si="5"/>
        <v>6641073</v>
      </c>
      <c r="U15" s="124">
        <v>2.1</v>
      </c>
      <c r="V15" s="124">
        <f t="shared" si="6"/>
        <v>830134.12499999953</v>
      </c>
      <c r="W15" s="89">
        <f t="shared" si="2"/>
        <v>616409344.72084987</v>
      </c>
      <c r="X15" s="67" t="s">
        <v>116</v>
      </c>
      <c r="Y15" s="67" t="s">
        <v>117</v>
      </c>
      <c r="Z15" s="67" t="s">
        <v>103</v>
      </c>
      <c r="AA15" s="67" t="s">
        <v>103</v>
      </c>
      <c r="AB15" s="67" t="s">
        <v>167</v>
      </c>
      <c r="AC15" s="67" t="s">
        <v>105</v>
      </c>
      <c r="AD15" s="67" t="s">
        <v>33</v>
      </c>
      <c r="AE15" s="97"/>
      <c r="AF15" s="90"/>
      <c r="AQ15" s="5"/>
    </row>
    <row r="16" spans="1:43">
      <c r="A16" s="164"/>
      <c r="B16" s="121">
        <v>45503</v>
      </c>
      <c r="C16" s="68" t="s">
        <v>98</v>
      </c>
      <c r="D16" s="68" t="s">
        <v>99</v>
      </c>
      <c r="E16" s="68" t="s">
        <v>100</v>
      </c>
      <c r="F16" s="68" t="s">
        <v>168</v>
      </c>
      <c r="G16" s="68" t="s">
        <v>102</v>
      </c>
      <c r="H16" s="68" t="s">
        <v>103</v>
      </c>
      <c r="I16" s="68" t="s">
        <v>169</v>
      </c>
      <c r="J16" s="68" t="s">
        <v>103</v>
      </c>
      <c r="K16" s="68" t="s">
        <v>105</v>
      </c>
      <c r="L16" s="68" t="s">
        <v>33</v>
      </c>
      <c r="M16" s="68" t="s">
        <v>170</v>
      </c>
      <c r="N16" s="68" t="s">
        <v>170</v>
      </c>
      <c r="O16" s="68" t="s">
        <v>107</v>
      </c>
      <c r="P16" s="68" t="s">
        <v>153</v>
      </c>
      <c r="Q16" s="91">
        <v>19218.2</v>
      </c>
      <c r="R16" s="91">
        <v>76.400000000000006</v>
      </c>
      <c r="S16" s="91">
        <v>1.1499999999999999</v>
      </c>
      <c r="T16" s="125">
        <f t="shared" si="5"/>
        <v>1468270.4800000002</v>
      </c>
      <c r="U16" s="125">
        <v>73.11</v>
      </c>
      <c r="V16" s="125">
        <f t="shared" si="6"/>
        <v>63227.878000000121</v>
      </c>
      <c r="W16" s="91">
        <f t="shared" si="2"/>
        <v>616409344.72084987</v>
      </c>
      <c r="X16" s="68" t="s">
        <v>130</v>
      </c>
      <c r="Y16" s="68" t="s">
        <v>117</v>
      </c>
      <c r="Z16" s="68" t="s">
        <v>103</v>
      </c>
      <c r="AA16" s="68" t="s">
        <v>103</v>
      </c>
      <c r="AB16" s="68" t="s">
        <v>103</v>
      </c>
      <c r="AC16" s="68" t="s">
        <v>103</v>
      </c>
      <c r="AD16" s="68" t="s">
        <v>103</v>
      </c>
      <c r="AE16" s="99"/>
      <c r="AF16" s="92"/>
    </row>
    <row r="17" spans="1:43">
      <c r="A17" s="164"/>
      <c r="B17" s="120">
        <v>45503</v>
      </c>
      <c r="C17" s="67" t="s">
        <v>98</v>
      </c>
      <c r="D17" s="67" t="s">
        <v>99</v>
      </c>
      <c r="E17" s="67" t="s">
        <v>100</v>
      </c>
      <c r="F17" s="67" t="s">
        <v>171</v>
      </c>
      <c r="G17" s="67" t="s">
        <v>102</v>
      </c>
      <c r="H17" s="67" t="s">
        <v>172</v>
      </c>
      <c r="I17" s="67" t="s">
        <v>113</v>
      </c>
      <c r="J17" s="72">
        <v>45562</v>
      </c>
      <c r="K17" s="67" t="s">
        <v>164</v>
      </c>
      <c r="L17" s="67" t="s">
        <v>41</v>
      </c>
      <c r="M17" s="67" t="s">
        <v>173</v>
      </c>
      <c r="N17" s="67" t="s">
        <v>173</v>
      </c>
      <c r="O17" s="67" t="s">
        <v>103</v>
      </c>
      <c r="P17" s="67" t="s">
        <v>115</v>
      </c>
      <c r="Q17" s="89">
        <v>2465433.5</v>
      </c>
      <c r="R17" s="89">
        <v>3.5</v>
      </c>
      <c r="S17" s="89">
        <v>0.92</v>
      </c>
      <c r="T17" s="124">
        <f t="shared" si="5"/>
        <v>8629017.25</v>
      </c>
      <c r="U17" s="124">
        <v>3.1</v>
      </c>
      <c r="V17" s="124">
        <f t="shared" si="6"/>
        <v>986173.39999999979</v>
      </c>
      <c r="W17" s="89">
        <f t="shared" si="2"/>
        <v>616409344.72084987</v>
      </c>
      <c r="X17" s="67" t="s">
        <v>116</v>
      </c>
      <c r="Y17" s="67" t="s">
        <v>117</v>
      </c>
      <c r="Z17" s="67" t="s">
        <v>103</v>
      </c>
      <c r="AA17" s="67" t="s">
        <v>103</v>
      </c>
      <c r="AB17" s="67" t="s">
        <v>173</v>
      </c>
      <c r="AC17" s="67" t="s">
        <v>174</v>
      </c>
      <c r="AD17" s="67" t="s">
        <v>175</v>
      </c>
      <c r="AE17" s="97"/>
      <c r="AF17" s="90"/>
      <c r="AQ17" s="5"/>
    </row>
    <row r="18" spans="1:43">
      <c r="A18" s="164"/>
      <c r="B18" s="121">
        <v>45503</v>
      </c>
      <c r="C18" s="68" t="s">
        <v>98</v>
      </c>
      <c r="D18" s="68" t="s">
        <v>99</v>
      </c>
      <c r="E18" s="68" t="s">
        <v>100</v>
      </c>
      <c r="F18" s="68" t="s">
        <v>176</v>
      </c>
      <c r="G18" s="68" t="s">
        <v>112</v>
      </c>
      <c r="H18" s="68" t="s">
        <v>103</v>
      </c>
      <c r="I18" s="68" t="s">
        <v>100</v>
      </c>
      <c r="J18" s="68" t="s">
        <v>103</v>
      </c>
      <c r="K18" s="68" t="s">
        <v>105</v>
      </c>
      <c r="L18" s="68" t="s">
        <v>33</v>
      </c>
      <c r="M18" s="68" t="s">
        <v>177</v>
      </c>
      <c r="N18" s="68" t="s">
        <v>178</v>
      </c>
      <c r="O18" s="68" t="s">
        <v>107</v>
      </c>
      <c r="P18" s="68" t="s">
        <v>143</v>
      </c>
      <c r="Q18" s="91">
        <v>-27050</v>
      </c>
      <c r="R18" s="91">
        <v>349.53</v>
      </c>
      <c r="S18" s="91">
        <v>1</v>
      </c>
      <c r="T18" s="125">
        <f t="shared" si="5"/>
        <v>-9454786.5</v>
      </c>
      <c r="U18" s="125">
        <v>354.2</v>
      </c>
      <c r="V18" s="125">
        <f t="shared" si="6"/>
        <v>126323.50000000044</v>
      </c>
      <c r="W18" s="91">
        <f t="shared" si="2"/>
        <v>616409344.72084987</v>
      </c>
      <c r="X18" s="68" t="s">
        <v>130</v>
      </c>
      <c r="Y18" s="68" t="s">
        <v>117</v>
      </c>
      <c r="Z18" s="68" t="s">
        <v>103</v>
      </c>
      <c r="AA18" s="68" t="s">
        <v>103</v>
      </c>
      <c r="AB18" s="68" t="s">
        <v>103</v>
      </c>
      <c r="AC18" s="68" t="s">
        <v>103</v>
      </c>
      <c r="AD18" s="68" t="s">
        <v>103</v>
      </c>
      <c r="AE18" s="99"/>
      <c r="AF18" s="92"/>
      <c r="AQ18" s="5"/>
    </row>
    <row r="19" spans="1:43">
      <c r="A19" s="164"/>
      <c r="B19" s="120">
        <v>45503</v>
      </c>
      <c r="C19" s="67" t="s">
        <v>98</v>
      </c>
      <c r="D19" s="67" t="s">
        <v>99</v>
      </c>
      <c r="E19" s="67" t="s">
        <v>100</v>
      </c>
      <c r="F19" s="67" t="s">
        <v>179</v>
      </c>
      <c r="G19" s="67" t="s">
        <v>102</v>
      </c>
      <c r="H19" s="67" t="s">
        <v>103</v>
      </c>
      <c r="I19" s="67" t="s">
        <v>113</v>
      </c>
      <c r="J19" s="67" t="s">
        <v>103</v>
      </c>
      <c r="K19" s="67" t="s">
        <v>105</v>
      </c>
      <c r="L19" s="67" t="s">
        <v>33</v>
      </c>
      <c r="M19" s="67" t="s">
        <v>180</v>
      </c>
      <c r="N19" s="67" t="s">
        <v>180</v>
      </c>
      <c r="O19" s="67" t="s">
        <v>107</v>
      </c>
      <c r="P19" s="67" t="s">
        <v>115</v>
      </c>
      <c r="Q19" s="89">
        <v>22402</v>
      </c>
      <c r="R19" s="89">
        <v>220.1</v>
      </c>
      <c r="S19" s="89">
        <v>0.92</v>
      </c>
      <c r="T19" s="124">
        <f t="shared" si="5"/>
        <v>4930680.2</v>
      </c>
      <c r="U19" s="124">
        <v>488.1</v>
      </c>
      <c r="V19" s="124">
        <f t="shared" si="6"/>
        <v>-6003736</v>
      </c>
      <c r="W19" s="89">
        <f t="shared" si="2"/>
        <v>616409344.72084987</v>
      </c>
      <c r="X19" s="67" t="s">
        <v>116</v>
      </c>
      <c r="Y19" s="67" t="s">
        <v>117</v>
      </c>
      <c r="Z19" s="67" t="s">
        <v>103</v>
      </c>
      <c r="AA19" s="67" t="s">
        <v>103</v>
      </c>
      <c r="AB19" s="67" t="s">
        <v>103</v>
      </c>
      <c r="AC19" s="67" t="s">
        <v>103</v>
      </c>
      <c r="AD19" s="67" t="s">
        <v>103</v>
      </c>
      <c r="AE19" s="97"/>
      <c r="AF19" s="90"/>
      <c r="AQ19" s="5"/>
    </row>
    <row r="20" spans="1:43">
      <c r="A20" s="164"/>
      <c r="B20" s="121">
        <v>45503</v>
      </c>
      <c r="C20" s="68" t="s">
        <v>98</v>
      </c>
      <c r="D20" s="68" t="s">
        <v>99</v>
      </c>
      <c r="E20" s="68" t="s">
        <v>100</v>
      </c>
      <c r="F20" s="68" t="s">
        <v>181</v>
      </c>
      <c r="G20" s="68" t="s">
        <v>102</v>
      </c>
      <c r="H20" s="68" t="s">
        <v>103</v>
      </c>
      <c r="I20" s="68" t="s">
        <v>169</v>
      </c>
      <c r="J20" s="68" t="s">
        <v>103</v>
      </c>
      <c r="K20" s="68" t="s">
        <v>105</v>
      </c>
      <c r="L20" s="68" t="s">
        <v>33</v>
      </c>
      <c r="M20" s="68" t="s">
        <v>182</v>
      </c>
      <c r="N20" s="68" t="s">
        <v>182</v>
      </c>
      <c r="O20" s="68" t="s">
        <v>107</v>
      </c>
      <c r="P20" s="68" t="s">
        <v>153</v>
      </c>
      <c r="Q20" s="91">
        <v>24583.200000000001</v>
      </c>
      <c r="R20" s="91">
        <v>234.04</v>
      </c>
      <c r="S20" s="91">
        <v>1.1499999999999999</v>
      </c>
      <c r="T20" s="125">
        <f t="shared" si="5"/>
        <v>5753452.1279999996</v>
      </c>
      <c r="U20" s="125">
        <v>240.09</v>
      </c>
      <c r="V20" s="125">
        <f t="shared" si="6"/>
        <v>-148728.36000000028</v>
      </c>
      <c r="W20" s="91">
        <f t="shared" si="2"/>
        <v>616409344.72084987</v>
      </c>
      <c r="X20" s="68" t="s">
        <v>130</v>
      </c>
      <c r="Y20" s="68" t="s">
        <v>117</v>
      </c>
      <c r="Z20" s="68" t="s">
        <v>103</v>
      </c>
      <c r="AA20" s="68" t="s">
        <v>103</v>
      </c>
      <c r="AB20" s="68" t="s">
        <v>103</v>
      </c>
      <c r="AC20" s="68" t="s">
        <v>103</v>
      </c>
      <c r="AD20" s="68" t="s">
        <v>103</v>
      </c>
      <c r="AE20" s="99"/>
      <c r="AF20" s="92"/>
    </row>
    <row r="21" spans="1:43">
      <c r="A21" s="164"/>
      <c r="B21" s="120">
        <v>45503</v>
      </c>
      <c r="C21" s="67" t="s">
        <v>98</v>
      </c>
      <c r="D21" s="67" t="s">
        <v>99</v>
      </c>
      <c r="E21" s="67" t="s">
        <v>100</v>
      </c>
      <c r="F21" s="67" t="s">
        <v>183</v>
      </c>
      <c r="G21" s="67" t="s">
        <v>102</v>
      </c>
      <c r="H21" s="67" t="s">
        <v>157</v>
      </c>
      <c r="I21" s="67" t="s">
        <v>113</v>
      </c>
      <c r="J21" s="72">
        <v>45565</v>
      </c>
      <c r="K21" s="67" t="s">
        <v>147</v>
      </c>
      <c r="L21" s="67" t="s">
        <v>41</v>
      </c>
      <c r="M21" s="67" t="s">
        <v>28</v>
      </c>
      <c r="N21" s="67" t="s">
        <v>28</v>
      </c>
      <c r="O21" s="67" t="s">
        <v>103</v>
      </c>
      <c r="P21" s="67" t="s">
        <v>115</v>
      </c>
      <c r="Q21" s="89">
        <v>8000.75</v>
      </c>
      <c r="R21" s="89">
        <v>59.23</v>
      </c>
      <c r="S21" s="89">
        <v>0.92</v>
      </c>
      <c r="T21" s="124">
        <f t="shared" si="5"/>
        <v>473884.42249999999</v>
      </c>
      <c r="U21" s="124">
        <v>55.23</v>
      </c>
      <c r="V21" s="124">
        <f t="shared" si="6"/>
        <v>32003</v>
      </c>
      <c r="W21" s="89">
        <f t="shared" si="2"/>
        <v>616409344.72084987</v>
      </c>
      <c r="X21" s="67" t="s">
        <v>130</v>
      </c>
      <c r="Y21" s="67" t="s">
        <v>117</v>
      </c>
      <c r="Z21" s="67"/>
      <c r="AA21" s="67" t="s">
        <v>103</v>
      </c>
      <c r="AB21" s="69" t="s">
        <v>184</v>
      </c>
      <c r="AC21" s="67" t="s">
        <v>174</v>
      </c>
      <c r="AD21" s="67" t="s">
        <v>175</v>
      </c>
      <c r="AE21" s="97"/>
      <c r="AF21" s="90"/>
    </row>
    <row r="22" spans="1:43">
      <c r="A22" s="164"/>
      <c r="B22" s="121">
        <v>45503</v>
      </c>
      <c r="C22" s="68" t="s">
        <v>98</v>
      </c>
      <c r="D22" s="68" t="s">
        <v>99</v>
      </c>
      <c r="E22" s="68" t="s">
        <v>100</v>
      </c>
      <c r="F22" s="68" t="s">
        <v>185</v>
      </c>
      <c r="G22" s="68" t="s">
        <v>102</v>
      </c>
      <c r="H22" s="68" t="s">
        <v>157</v>
      </c>
      <c r="I22" s="68" t="s">
        <v>186</v>
      </c>
      <c r="J22" s="70">
        <v>45596</v>
      </c>
      <c r="K22" s="68" t="s">
        <v>164</v>
      </c>
      <c r="L22" s="68" t="s">
        <v>37</v>
      </c>
      <c r="M22" s="68" t="s">
        <v>187</v>
      </c>
      <c r="N22" s="68" t="s">
        <v>187</v>
      </c>
      <c r="O22" s="68" t="s">
        <v>103</v>
      </c>
      <c r="P22" s="68" t="s">
        <v>188</v>
      </c>
      <c r="Q22" s="91">
        <v>2351023.4</v>
      </c>
      <c r="R22" s="91">
        <v>4.2</v>
      </c>
      <c r="S22" s="91">
        <v>1.18</v>
      </c>
      <c r="T22" s="125">
        <f t="shared" si="5"/>
        <v>9874298.2799999993</v>
      </c>
      <c r="U22" s="125">
        <v>3.7</v>
      </c>
      <c r="V22" s="125">
        <f t="shared" si="6"/>
        <v>1175511.7</v>
      </c>
      <c r="W22" s="91">
        <f t="shared" si="2"/>
        <v>616409344.72084987</v>
      </c>
      <c r="X22" s="68" t="s">
        <v>109</v>
      </c>
      <c r="Y22" s="68" t="s">
        <v>110</v>
      </c>
      <c r="Z22" s="68" t="s">
        <v>103</v>
      </c>
      <c r="AA22" s="68" t="s">
        <v>103</v>
      </c>
      <c r="AB22" s="68" t="s">
        <v>189</v>
      </c>
      <c r="AC22" s="68" t="s">
        <v>174</v>
      </c>
      <c r="AD22" s="68" t="s">
        <v>175</v>
      </c>
      <c r="AE22" s="99"/>
      <c r="AF22" s="92"/>
    </row>
    <row r="23" spans="1:43">
      <c r="A23" s="164"/>
      <c r="B23" s="120">
        <v>45503</v>
      </c>
      <c r="C23" s="67" t="s">
        <v>98</v>
      </c>
      <c r="D23" s="67" t="s">
        <v>99</v>
      </c>
      <c r="E23" s="67" t="s">
        <v>100</v>
      </c>
      <c r="F23" s="67" t="s">
        <v>190</v>
      </c>
      <c r="G23" s="67" t="s">
        <v>102</v>
      </c>
      <c r="H23" s="67" t="s">
        <v>191</v>
      </c>
      <c r="I23" s="67" t="s">
        <v>100</v>
      </c>
      <c r="J23" s="72">
        <v>45596</v>
      </c>
      <c r="K23" s="67" t="s">
        <v>192</v>
      </c>
      <c r="L23" s="67" t="s">
        <v>193</v>
      </c>
      <c r="M23" s="67" t="s">
        <v>194</v>
      </c>
      <c r="N23" s="67" t="s">
        <v>194</v>
      </c>
      <c r="O23" s="67" t="s">
        <v>103</v>
      </c>
      <c r="P23" s="67" t="s">
        <v>153</v>
      </c>
      <c r="Q23" s="89">
        <v>1000</v>
      </c>
      <c r="R23" s="89">
        <v>78.900000000000006</v>
      </c>
      <c r="S23" s="89">
        <v>1</v>
      </c>
      <c r="T23" s="124">
        <f>V23</f>
        <v>-99.999999999994316</v>
      </c>
      <c r="U23" s="124">
        <v>79</v>
      </c>
      <c r="V23" s="124">
        <f t="shared" si="6"/>
        <v>-99.999999999994316</v>
      </c>
      <c r="W23" s="89">
        <f t="shared" si="2"/>
        <v>616409344.72084987</v>
      </c>
      <c r="X23" s="67" t="s">
        <v>130</v>
      </c>
      <c r="Y23" s="67" t="s">
        <v>117</v>
      </c>
      <c r="Z23" s="67" t="s">
        <v>103</v>
      </c>
      <c r="AA23" s="67" t="s">
        <v>103</v>
      </c>
      <c r="AB23" s="67" t="s">
        <v>103</v>
      </c>
      <c r="AC23" s="67" t="s">
        <v>103</v>
      </c>
      <c r="AD23" s="67" t="s">
        <v>103</v>
      </c>
      <c r="AE23" s="97"/>
      <c r="AF23" s="90"/>
      <c r="AQ23" s="5"/>
    </row>
    <row r="24" spans="1:43">
      <c r="A24" s="164"/>
      <c r="B24" s="121">
        <v>45503</v>
      </c>
      <c r="C24" s="68" t="s">
        <v>98</v>
      </c>
      <c r="D24" s="68" t="s">
        <v>99</v>
      </c>
      <c r="E24" s="68" t="s">
        <v>100</v>
      </c>
      <c r="F24" s="68" t="s">
        <v>195</v>
      </c>
      <c r="G24" s="68" t="s">
        <v>102</v>
      </c>
      <c r="H24" s="68" t="s">
        <v>103</v>
      </c>
      <c r="I24" s="68" t="s">
        <v>100</v>
      </c>
      <c r="J24" s="68" t="s">
        <v>103</v>
      </c>
      <c r="K24" s="68" t="s">
        <v>105</v>
      </c>
      <c r="L24" s="68" t="s">
        <v>34</v>
      </c>
      <c r="M24" s="68" t="s">
        <v>196</v>
      </c>
      <c r="N24" s="68" t="s">
        <v>196</v>
      </c>
      <c r="O24" s="68" t="s">
        <v>107</v>
      </c>
      <c r="P24" s="68" t="s">
        <v>129</v>
      </c>
      <c r="Q24" s="91">
        <v>248074.75</v>
      </c>
      <c r="R24" s="91">
        <v>342.42</v>
      </c>
      <c r="S24" s="91">
        <v>1</v>
      </c>
      <c r="T24" s="125">
        <f t="shared" ref="T24:T30" si="7">Q24*R24</f>
        <v>84945755.895000011</v>
      </c>
      <c r="U24" s="125">
        <v>330.92</v>
      </c>
      <c r="V24" s="125">
        <f t="shared" si="6"/>
        <v>2852859.625</v>
      </c>
      <c r="W24" s="91">
        <f t="shared" si="2"/>
        <v>616409344.72084987</v>
      </c>
      <c r="X24" s="68" t="s">
        <v>130</v>
      </c>
      <c r="Y24" s="68" t="s">
        <v>117</v>
      </c>
      <c r="Z24" s="68" t="s">
        <v>103</v>
      </c>
      <c r="AA24" s="68" t="s">
        <v>103</v>
      </c>
      <c r="AB24" s="68" t="s">
        <v>197</v>
      </c>
      <c r="AC24" s="68" t="s">
        <v>105</v>
      </c>
      <c r="AD24" s="68" t="s">
        <v>33</v>
      </c>
      <c r="AE24" s="99"/>
      <c r="AF24" s="92"/>
      <c r="AQ24" s="5"/>
    </row>
    <row r="25" spans="1:43">
      <c r="A25" s="164"/>
      <c r="B25" s="120">
        <v>45503</v>
      </c>
      <c r="C25" s="67" t="s">
        <v>98</v>
      </c>
      <c r="D25" s="67" t="s">
        <v>99</v>
      </c>
      <c r="E25" s="67" t="s">
        <v>100</v>
      </c>
      <c r="F25" s="67" t="s">
        <v>198</v>
      </c>
      <c r="G25" s="67" t="s">
        <v>102</v>
      </c>
      <c r="H25" s="67" t="s">
        <v>103</v>
      </c>
      <c r="I25" s="67" t="s">
        <v>169</v>
      </c>
      <c r="J25" s="67" t="s">
        <v>103</v>
      </c>
      <c r="K25" s="67" t="s">
        <v>105</v>
      </c>
      <c r="L25" s="67" t="s">
        <v>34</v>
      </c>
      <c r="M25" s="67" t="s">
        <v>199</v>
      </c>
      <c r="N25" s="67" t="s">
        <v>199</v>
      </c>
      <c r="O25" s="67" t="s">
        <v>107</v>
      </c>
      <c r="P25" s="67" t="s">
        <v>153</v>
      </c>
      <c r="Q25" s="89">
        <v>327052.25</v>
      </c>
      <c r="R25" s="89">
        <v>285.26</v>
      </c>
      <c r="S25" s="89">
        <v>1.1499999999999999</v>
      </c>
      <c r="T25" s="124">
        <f t="shared" si="7"/>
        <v>93294924.834999993</v>
      </c>
      <c r="U25" s="124">
        <v>279.98</v>
      </c>
      <c r="V25" s="124">
        <f t="shared" si="6"/>
        <v>1726835.879999991</v>
      </c>
      <c r="W25" s="89">
        <f t="shared" si="2"/>
        <v>616409344.72084987</v>
      </c>
      <c r="X25" s="67" t="s">
        <v>130</v>
      </c>
      <c r="Y25" s="67" t="s">
        <v>117</v>
      </c>
      <c r="Z25" s="67" t="s">
        <v>103</v>
      </c>
      <c r="AA25" s="67" t="s">
        <v>103</v>
      </c>
      <c r="AB25" s="67" t="s">
        <v>200</v>
      </c>
      <c r="AC25" s="67" t="s">
        <v>105</v>
      </c>
      <c r="AD25" s="67" t="s">
        <v>33</v>
      </c>
      <c r="AE25" s="97"/>
      <c r="AF25" s="90"/>
    </row>
    <row r="26" spans="1:43">
      <c r="B26" s="121">
        <v>45503</v>
      </c>
      <c r="C26" s="68" t="s">
        <v>98</v>
      </c>
      <c r="D26" s="68" t="s">
        <v>99</v>
      </c>
      <c r="E26" s="68" t="s">
        <v>100</v>
      </c>
      <c r="F26" s="68" t="s">
        <v>201</v>
      </c>
      <c r="G26" s="68" t="s">
        <v>102</v>
      </c>
      <c r="H26" s="68" t="s">
        <v>202</v>
      </c>
      <c r="I26" s="68" t="s">
        <v>203</v>
      </c>
      <c r="J26" s="70">
        <v>45596</v>
      </c>
      <c r="K26" s="68" t="s">
        <v>147</v>
      </c>
      <c r="L26" s="68" t="s">
        <v>37</v>
      </c>
      <c r="M26" s="68" t="s">
        <v>28</v>
      </c>
      <c r="N26" s="68" t="s">
        <v>28</v>
      </c>
      <c r="O26" s="68" t="s">
        <v>103</v>
      </c>
      <c r="P26" s="68" t="s">
        <v>204</v>
      </c>
      <c r="Q26" s="91">
        <v>302790.25</v>
      </c>
      <c r="R26" s="91">
        <v>0.99</v>
      </c>
      <c r="S26" s="91">
        <v>0.13</v>
      </c>
      <c r="T26" s="125">
        <f t="shared" si="7"/>
        <v>299762.34749999997</v>
      </c>
      <c r="U26" s="125">
        <v>1.04</v>
      </c>
      <c r="V26" s="125">
        <f t="shared" si="6"/>
        <v>-15139.512500000013</v>
      </c>
      <c r="W26" s="91">
        <f t="shared" si="2"/>
        <v>616409344.72084987</v>
      </c>
      <c r="X26" s="68" t="s">
        <v>109</v>
      </c>
      <c r="Y26" s="68" t="s">
        <v>110</v>
      </c>
      <c r="Z26" s="68" t="s">
        <v>103</v>
      </c>
      <c r="AA26" s="68" t="s">
        <v>103</v>
      </c>
      <c r="AB26" s="68" t="s">
        <v>205</v>
      </c>
      <c r="AC26" s="68" t="s">
        <v>105</v>
      </c>
      <c r="AD26" s="68" t="s">
        <v>33</v>
      </c>
      <c r="AE26" s="99"/>
      <c r="AF26" s="92"/>
    </row>
    <row r="27" spans="1:43">
      <c r="B27" s="120">
        <v>45503</v>
      </c>
      <c r="C27" s="67" t="s">
        <v>98</v>
      </c>
      <c r="D27" s="67" t="s">
        <v>99</v>
      </c>
      <c r="E27" s="67" t="s">
        <v>100</v>
      </c>
      <c r="F27" s="67" t="s">
        <v>206</v>
      </c>
      <c r="G27" s="67" t="s">
        <v>102</v>
      </c>
      <c r="H27" s="67" t="s">
        <v>103</v>
      </c>
      <c r="I27" s="67" t="s">
        <v>113</v>
      </c>
      <c r="J27" s="72">
        <v>52748</v>
      </c>
      <c r="K27" s="67" t="s">
        <v>125</v>
      </c>
      <c r="L27" s="67" t="s">
        <v>132</v>
      </c>
      <c r="M27" s="67" t="s">
        <v>133</v>
      </c>
      <c r="N27" s="67" t="s">
        <v>134</v>
      </c>
      <c r="O27" s="67" t="s">
        <v>135</v>
      </c>
      <c r="P27" s="67" t="s">
        <v>115</v>
      </c>
      <c r="Q27" s="89">
        <v>211078</v>
      </c>
      <c r="R27" s="89">
        <v>97.88</v>
      </c>
      <c r="S27" s="89">
        <v>0.92</v>
      </c>
      <c r="T27" s="124">
        <f t="shared" si="7"/>
        <v>20660314.640000001</v>
      </c>
      <c r="U27" s="124">
        <v>199.87</v>
      </c>
      <c r="V27" s="124">
        <f t="shared" si="6"/>
        <v>-21527845.220000003</v>
      </c>
      <c r="W27" s="89">
        <f t="shared" si="2"/>
        <v>616409344.72084987</v>
      </c>
      <c r="X27" s="67" t="s">
        <v>116</v>
      </c>
      <c r="Y27" s="67" t="s">
        <v>117</v>
      </c>
      <c r="Z27" s="73">
        <v>4.3999999999999997E-2</v>
      </c>
      <c r="AA27" s="67">
        <f>AA14*0.8</f>
        <v>6830400</v>
      </c>
      <c r="AB27" s="67" t="s">
        <v>103</v>
      </c>
      <c r="AC27" s="67" t="s">
        <v>103</v>
      </c>
      <c r="AD27" s="67" t="s">
        <v>103</v>
      </c>
      <c r="AE27" s="97"/>
      <c r="AF27" s="90"/>
      <c r="AQ27" s="5"/>
    </row>
    <row r="28" spans="1:43">
      <c r="B28" s="121">
        <v>45503</v>
      </c>
      <c r="C28" s="68" t="s">
        <v>98</v>
      </c>
      <c r="D28" s="68" t="s">
        <v>99</v>
      </c>
      <c r="E28" s="68" t="s">
        <v>100</v>
      </c>
      <c r="F28" s="68" t="s">
        <v>207</v>
      </c>
      <c r="G28" s="68" t="s">
        <v>102</v>
      </c>
      <c r="H28" s="68" t="s">
        <v>103</v>
      </c>
      <c r="I28" s="68" t="s">
        <v>100</v>
      </c>
      <c r="J28" s="70">
        <v>45831</v>
      </c>
      <c r="K28" s="68" t="s">
        <v>105</v>
      </c>
      <c r="L28" s="68" t="s">
        <v>35</v>
      </c>
      <c r="M28" s="68" t="s">
        <v>208</v>
      </c>
      <c r="N28" s="68" t="s">
        <v>209</v>
      </c>
      <c r="O28" s="68" t="s">
        <v>107</v>
      </c>
      <c r="P28" s="68" t="s">
        <v>210</v>
      </c>
      <c r="Q28" s="91">
        <v>31762298.5</v>
      </c>
      <c r="R28" s="91">
        <v>5.6000000000000001E-2</v>
      </c>
      <c r="S28" s="91">
        <v>1</v>
      </c>
      <c r="T28" s="125">
        <f t="shared" si="7"/>
        <v>1778688.716</v>
      </c>
      <c r="U28" s="125">
        <v>5.1999999999999998E-2</v>
      </c>
      <c r="V28" s="125">
        <f t="shared" si="6"/>
        <v>127049.19400000012</v>
      </c>
      <c r="W28" s="91">
        <f t="shared" si="2"/>
        <v>616409344.72084987</v>
      </c>
      <c r="X28" s="68" t="s">
        <v>130</v>
      </c>
      <c r="Y28" s="68" t="s">
        <v>117</v>
      </c>
      <c r="Z28" s="68" t="s">
        <v>103</v>
      </c>
      <c r="AA28" s="68" t="s">
        <v>103</v>
      </c>
      <c r="AB28" s="68" t="s">
        <v>211</v>
      </c>
      <c r="AC28" s="68" t="s">
        <v>105</v>
      </c>
      <c r="AD28" s="68" t="s">
        <v>33</v>
      </c>
      <c r="AE28" s="99"/>
      <c r="AF28" s="92"/>
      <c r="AQ28" s="5"/>
    </row>
    <row r="29" spans="1:43">
      <c r="B29" s="120">
        <v>45503</v>
      </c>
      <c r="C29" s="67" t="s">
        <v>98</v>
      </c>
      <c r="D29" s="67" t="s">
        <v>99</v>
      </c>
      <c r="E29" s="67" t="s">
        <v>100</v>
      </c>
      <c r="F29" s="67" t="s">
        <v>212</v>
      </c>
      <c r="G29" s="67" t="s">
        <v>102</v>
      </c>
      <c r="H29" s="67" t="s">
        <v>103</v>
      </c>
      <c r="I29" s="67" t="s">
        <v>100</v>
      </c>
      <c r="J29" s="72">
        <v>46105</v>
      </c>
      <c r="K29" s="67" t="s">
        <v>105</v>
      </c>
      <c r="L29" s="67" t="s">
        <v>35</v>
      </c>
      <c r="M29" s="67" t="s">
        <v>213</v>
      </c>
      <c r="N29" s="67" t="s">
        <v>214</v>
      </c>
      <c r="O29" s="67" t="s">
        <v>107</v>
      </c>
      <c r="P29" s="67" t="s">
        <v>210</v>
      </c>
      <c r="Q29" s="89">
        <v>13236155.5</v>
      </c>
      <c r="R29" s="89">
        <v>0.06</v>
      </c>
      <c r="S29" s="89">
        <v>1</v>
      </c>
      <c r="T29" s="124">
        <f t="shared" si="7"/>
        <v>794169.33</v>
      </c>
      <c r="U29" s="124">
        <v>5.5E-2</v>
      </c>
      <c r="V29" s="124">
        <f t="shared" si="6"/>
        <v>66180.777499999967</v>
      </c>
      <c r="W29" s="89">
        <f t="shared" si="2"/>
        <v>616409344.72084987</v>
      </c>
      <c r="X29" s="67" t="s">
        <v>130</v>
      </c>
      <c r="Y29" s="67" t="s">
        <v>117</v>
      </c>
      <c r="Z29" s="67" t="s">
        <v>103</v>
      </c>
      <c r="AA29" s="67" t="s">
        <v>103</v>
      </c>
      <c r="AB29" s="67" t="s">
        <v>215</v>
      </c>
      <c r="AC29" s="67" t="s">
        <v>105</v>
      </c>
      <c r="AD29" s="67" t="s">
        <v>33</v>
      </c>
      <c r="AE29" s="97"/>
      <c r="AF29" s="90"/>
      <c r="AQ29" s="5"/>
    </row>
    <row r="30" spans="1:43">
      <c r="B30" s="121">
        <v>45503</v>
      </c>
      <c r="C30" s="68" t="s">
        <v>98</v>
      </c>
      <c r="D30" s="68" t="s">
        <v>99</v>
      </c>
      <c r="E30" s="68" t="s">
        <v>100</v>
      </c>
      <c r="F30" s="68" t="str">
        <f ca="1">LEFT(M30, FIND(" ",M30))&amp;" "&amp;CHOOSE(RANDBETWEEN(1,3),"Class A","Class B","Class C")</f>
        <v>OmniPulse  Class C</v>
      </c>
      <c r="G30" s="68" t="s">
        <v>102</v>
      </c>
      <c r="H30" s="68" t="s">
        <v>103</v>
      </c>
      <c r="I30" s="68" t="s">
        <v>113</v>
      </c>
      <c r="J30" s="68" t="s">
        <v>103</v>
      </c>
      <c r="K30" s="68" t="s">
        <v>105</v>
      </c>
      <c r="L30" s="68" t="s">
        <v>33</v>
      </c>
      <c r="M30" s="68" t="s">
        <v>216</v>
      </c>
      <c r="N30" s="68" t="s">
        <v>216</v>
      </c>
      <c r="O30" s="68" t="s">
        <v>107</v>
      </c>
      <c r="P30" s="68" t="s">
        <v>115</v>
      </c>
      <c r="Q30" s="91">
        <v>17012</v>
      </c>
      <c r="R30" s="91">
        <v>123.3</v>
      </c>
      <c r="S30" s="91">
        <v>0.92</v>
      </c>
      <c r="T30" s="125">
        <f t="shared" si="7"/>
        <v>2097579.6</v>
      </c>
      <c r="U30" s="125">
        <v>589.02</v>
      </c>
      <c r="V30" s="125">
        <f t="shared" si="6"/>
        <v>-7922828.6399999997</v>
      </c>
      <c r="W30" s="91">
        <f t="shared" si="2"/>
        <v>616409344.72084987</v>
      </c>
      <c r="X30" s="68" t="s">
        <v>116</v>
      </c>
      <c r="Y30" s="68" t="s">
        <v>117</v>
      </c>
      <c r="Z30" s="68" t="s">
        <v>103</v>
      </c>
      <c r="AA30" s="68" t="s">
        <v>103</v>
      </c>
      <c r="AB30" s="68" t="s">
        <v>103</v>
      </c>
      <c r="AC30" s="68" t="s">
        <v>103</v>
      </c>
      <c r="AD30" s="68" t="s">
        <v>103</v>
      </c>
      <c r="AE30" s="99"/>
      <c r="AF30" s="92"/>
    </row>
    <row r="31" spans="1:43">
      <c r="B31" s="120">
        <v>45503</v>
      </c>
      <c r="C31" s="67" t="s">
        <v>98</v>
      </c>
      <c r="D31" s="67" t="s">
        <v>99</v>
      </c>
      <c r="E31" s="67" t="s">
        <v>100</v>
      </c>
      <c r="F31" s="67" t="s">
        <v>217</v>
      </c>
      <c r="G31" s="67" t="s">
        <v>102</v>
      </c>
      <c r="H31" s="67" t="s">
        <v>163</v>
      </c>
      <c r="I31" s="67" t="s">
        <v>100</v>
      </c>
      <c r="J31" s="72">
        <v>50678</v>
      </c>
      <c r="K31" s="67" t="s">
        <v>125</v>
      </c>
      <c r="L31" s="67" t="s">
        <v>218</v>
      </c>
      <c r="M31" s="67" t="s">
        <v>219</v>
      </c>
      <c r="N31" s="67" t="s">
        <v>220</v>
      </c>
      <c r="O31" s="67" t="s">
        <v>107</v>
      </c>
      <c r="P31" s="67" t="s">
        <v>210</v>
      </c>
      <c r="Q31" s="89">
        <v>1796136.5</v>
      </c>
      <c r="R31" s="89">
        <v>100.4</v>
      </c>
      <c r="S31" s="89">
        <v>1</v>
      </c>
      <c r="T31" s="124">
        <f t="shared" ref="T31:T32" si="8">IF(L31="Equity",Q31*R31,Q31*R31/100)</f>
        <v>1803321.0460000003</v>
      </c>
      <c r="U31" s="124">
        <v>100</v>
      </c>
      <c r="V31" s="124">
        <f t="shared" si="6"/>
        <v>718454.60000001022</v>
      </c>
      <c r="W31" s="89">
        <f t="shared" si="2"/>
        <v>616409344.72084987</v>
      </c>
      <c r="X31" s="67" t="s">
        <v>116</v>
      </c>
      <c r="Y31" s="67" t="s">
        <v>110</v>
      </c>
      <c r="Z31" s="73">
        <v>5.2999999999999999E-2</v>
      </c>
      <c r="AA31" s="67" t="s">
        <v>103</v>
      </c>
      <c r="AB31" s="67" t="s">
        <v>103</v>
      </c>
      <c r="AC31" s="67" t="s">
        <v>103</v>
      </c>
      <c r="AD31" s="67" t="s">
        <v>103</v>
      </c>
      <c r="AE31" s="97"/>
      <c r="AF31" s="90"/>
    </row>
    <row r="32" spans="1:43">
      <c r="B32" s="121">
        <v>45503</v>
      </c>
      <c r="C32" s="68" t="s">
        <v>98</v>
      </c>
      <c r="D32" s="68" t="s">
        <v>99</v>
      </c>
      <c r="E32" s="68" t="s">
        <v>100</v>
      </c>
      <c r="F32" s="68" t="s">
        <v>221</v>
      </c>
      <c r="G32" s="68" t="s">
        <v>102</v>
      </c>
      <c r="H32" s="68" t="s">
        <v>191</v>
      </c>
      <c r="I32" s="68" t="s">
        <v>100</v>
      </c>
      <c r="J32" s="70">
        <v>46721</v>
      </c>
      <c r="K32" s="68" t="s">
        <v>125</v>
      </c>
      <c r="L32" s="68" t="s">
        <v>218</v>
      </c>
      <c r="M32" s="68" t="s">
        <v>222</v>
      </c>
      <c r="N32" s="68" t="s">
        <v>223</v>
      </c>
      <c r="O32" s="68" t="s">
        <v>107</v>
      </c>
      <c r="P32" s="68" t="s">
        <v>224</v>
      </c>
      <c r="Q32" s="91">
        <v>1595523.75</v>
      </c>
      <c r="R32" s="91">
        <v>99.3</v>
      </c>
      <c r="S32" s="91">
        <v>1</v>
      </c>
      <c r="T32" s="125">
        <f t="shared" si="8"/>
        <v>1584355.08375</v>
      </c>
      <c r="U32" s="125">
        <v>100</v>
      </c>
      <c r="V32" s="125">
        <f t="shared" si="6"/>
        <v>-1116866.6250000044</v>
      </c>
      <c r="W32" s="91">
        <f t="shared" si="2"/>
        <v>616409344.72084987</v>
      </c>
      <c r="X32" s="68" t="s">
        <v>109</v>
      </c>
      <c r="Y32" s="68" t="s">
        <v>117</v>
      </c>
      <c r="Z32" s="71">
        <v>4.5999999999999999E-2</v>
      </c>
      <c r="AA32" s="68" t="s">
        <v>103</v>
      </c>
      <c r="AB32" s="68" t="s">
        <v>103</v>
      </c>
      <c r="AC32" s="68" t="s">
        <v>103</v>
      </c>
      <c r="AD32" s="68" t="s">
        <v>103</v>
      </c>
      <c r="AE32" s="99"/>
      <c r="AF32" s="92"/>
    </row>
    <row r="33" spans="2:43">
      <c r="B33" s="120">
        <v>45503</v>
      </c>
      <c r="C33" s="67" t="s">
        <v>98</v>
      </c>
      <c r="D33" s="67" t="s">
        <v>99</v>
      </c>
      <c r="E33" s="67" t="s">
        <v>100</v>
      </c>
      <c r="F33" s="67" t="s">
        <v>225</v>
      </c>
      <c r="G33" s="67" t="s">
        <v>102</v>
      </c>
      <c r="H33" s="67" t="s">
        <v>103</v>
      </c>
      <c r="I33" s="67" t="s">
        <v>186</v>
      </c>
      <c r="J33" s="72">
        <v>49125</v>
      </c>
      <c r="K33" s="67" t="s">
        <v>125</v>
      </c>
      <c r="L33" s="67" t="s">
        <v>126</v>
      </c>
      <c r="M33" s="67" t="s">
        <v>226</v>
      </c>
      <c r="N33" s="67" t="s">
        <v>128</v>
      </c>
      <c r="O33" s="67" t="s">
        <v>107</v>
      </c>
      <c r="P33" s="67" t="s">
        <v>188</v>
      </c>
      <c r="Q33" s="89">
        <v>309561</v>
      </c>
      <c r="R33" s="89">
        <v>103.5</v>
      </c>
      <c r="S33" s="89">
        <v>1.18</v>
      </c>
      <c r="T33" s="124">
        <f t="shared" ref="T33:T37" si="9">Q33*R33</f>
        <v>32039563.5</v>
      </c>
      <c r="U33" s="124">
        <v>102.8</v>
      </c>
      <c r="V33" s="124">
        <f t="shared" si="6"/>
        <v>216692.70000000088</v>
      </c>
      <c r="W33" s="89">
        <f t="shared" si="2"/>
        <v>616409344.72084987</v>
      </c>
      <c r="X33" s="67" t="s">
        <v>130</v>
      </c>
      <c r="Y33" s="67" t="s">
        <v>117</v>
      </c>
      <c r="Z33" s="73">
        <v>4.3999999999999997E-2</v>
      </c>
      <c r="AA33" s="67">
        <v>54195500</v>
      </c>
      <c r="AB33" s="67" t="s">
        <v>103</v>
      </c>
      <c r="AC33" s="67" t="s">
        <v>103</v>
      </c>
      <c r="AD33" s="67" t="s">
        <v>103</v>
      </c>
      <c r="AE33" s="97"/>
      <c r="AF33" s="90"/>
    </row>
    <row r="34" spans="2:43">
      <c r="B34" s="121">
        <v>45503</v>
      </c>
      <c r="C34" s="68" t="s">
        <v>98</v>
      </c>
      <c r="D34" s="68" t="s">
        <v>99</v>
      </c>
      <c r="E34" s="68" t="s">
        <v>100</v>
      </c>
      <c r="F34" s="68" t="s">
        <v>227</v>
      </c>
      <c r="G34" s="68" t="s">
        <v>112</v>
      </c>
      <c r="H34" s="68" t="s">
        <v>103</v>
      </c>
      <c r="I34" s="68" t="s">
        <v>100</v>
      </c>
      <c r="J34" s="70">
        <v>47938</v>
      </c>
      <c r="K34" s="68" t="s">
        <v>125</v>
      </c>
      <c r="L34" s="68" t="s">
        <v>126</v>
      </c>
      <c r="M34" s="68" t="s">
        <v>228</v>
      </c>
      <c r="N34" s="68" t="s">
        <v>229</v>
      </c>
      <c r="O34" s="68" t="s">
        <v>107</v>
      </c>
      <c r="P34" s="68" t="s">
        <v>224</v>
      </c>
      <c r="Q34" s="91">
        <v>-172303.25</v>
      </c>
      <c r="R34" s="91">
        <v>98.01</v>
      </c>
      <c r="S34" s="91">
        <v>1</v>
      </c>
      <c r="T34" s="125">
        <f t="shared" si="9"/>
        <v>-16887441.532500003</v>
      </c>
      <c r="U34" s="125">
        <v>99.6</v>
      </c>
      <c r="V34" s="125">
        <f t="shared" si="6"/>
        <v>273962.16749999812</v>
      </c>
      <c r="W34" s="91">
        <f t="shared" si="2"/>
        <v>616409344.72084987</v>
      </c>
      <c r="X34" s="68" t="s">
        <v>130</v>
      </c>
      <c r="Y34" s="68" t="s">
        <v>117</v>
      </c>
      <c r="Z34" s="71">
        <v>4.5999999999999999E-2</v>
      </c>
      <c r="AA34" s="68">
        <v>2777830</v>
      </c>
      <c r="AB34" s="68" t="s">
        <v>103</v>
      </c>
      <c r="AC34" s="68" t="s">
        <v>103</v>
      </c>
      <c r="AD34" s="68" t="s">
        <v>103</v>
      </c>
      <c r="AE34" s="99"/>
      <c r="AF34" s="92"/>
    </row>
    <row r="35" spans="2:43">
      <c r="B35" s="120">
        <v>45503</v>
      </c>
      <c r="C35" s="67" t="s">
        <v>98</v>
      </c>
      <c r="D35" s="67" t="s">
        <v>99</v>
      </c>
      <c r="E35" s="67" t="s">
        <v>100</v>
      </c>
      <c r="F35" s="67" t="s">
        <v>230</v>
      </c>
      <c r="G35" s="67" t="s">
        <v>102</v>
      </c>
      <c r="H35" s="67" t="s">
        <v>103</v>
      </c>
      <c r="I35" s="67" t="s">
        <v>113</v>
      </c>
      <c r="J35" s="72">
        <v>48730</v>
      </c>
      <c r="K35" s="67" t="s">
        <v>125</v>
      </c>
      <c r="L35" s="67" t="s">
        <v>126</v>
      </c>
      <c r="M35" s="67" t="s">
        <v>231</v>
      </c>
      <c r="N35" s="67" t="s">
        <v>232</v>
      </c>
      <c r="O35" s="67" t="s">
        <v>107</v>
      </c>
      <c r="P35" s="67" t="s">
        <v>115</v>
      </c>
      <c r="Q35" s="89">
        <v>272634.25</v>
      </c>
      <c r="R35" s="89">
        <v>105.06</v>
      </c>
      <c r="S35" s="89">
        <v>0.92</v>
      </c>
      <c r="T35" s="124">
        <f t="shared" si="9"/>
        <v>28642954.305</v>
      </c>
      <c r="U35" s="124">
        <v>104.9</v>
      </c>
      <c r="V35" s="124">
        <f t="shared" si="6"/>
        <v>43621.479999999072</v>
      </c>
      <c r="W35" s="89">
        <f t="shared" si="2"/>
        <v>616409344.72084987</v>
      </c>
      <c r="X35" s="67" t="s">
        <v>116</v>
      </c>
      <c r="Y35" s="67" t="s">
        <v>117</v>
      </c>
      <c r="Z35" s="73">
        <v>4.3999999999999997E-2</v>
      </c>
      <c r="AA35" s="67">
        <v>9534500</v>
      </c>
      <c r="AB35" s="67" t="s">
        <v>103</v>
      </c>
      <c r="AC35" s="67" t="s">
        <v>103</v>
      </c>
      <c r="AD35" s="67" t="s">
        <v>103</v>
      </c>
      <c r="AE35" s="97"/>
      <c r="AF35" s="90"/>
    </row>
    <row r="36" spans="2:43">
      <c r="B36" s="121">
        <v>45503</v>
      </c>
      <c r="C36" s="68" t="s">
        <v>98</v>
      </c>
      <c r="D36" s="68" t="s">
        <v>99</v>
      </c>
      <c r="E36" s="68" t="s">
        <v>100</v>
      </c>
      <c r="F36" s="68" t="s">
        <v>233</v>
      </c>
      <c r="G36" s="68" t="s">
        <v>102</v>
      </c>
      <c r="H36" s="68" t="s">
        <v>157</v>
      </c>
      <c r="I36" s="68" t="s">
        <v>100</v>
      </c>
      <c r="J36" s="70">
        <v>45621</v>
      </c>
      <c r="K36" s="68" t="s">
        <v>147</v>
      </c>
      <c r="L36" s="68" t="s">
        <v>234</v>
      </c>
      <c r="M36" s="68" t="s">
        <v>235</v>
      </c>
      <c r="N36" s="68" t="s">
        <v>236</v>
      </c>
      <c r="O36" s="68" t="s">
        <v>103</v>
      </c>
      <c r="P36" s="68" t="s">
        <v>224</v>
      </c>
      <c r="Q36" s="91">
        <v>24469</v>
      </c>
      <c r="R36" s="91">
        <v>1.24</v>
      </c>
      <c r="S36" s="91">
        <v>1</v>
      </c>
      <c r="T36" s="125">
        <f t="shared" si="9"/>
        <v>30341.56</v>
      </c>
      <c r="U36" s="125">
        <v>1.26</v>
      </c>
      <c r="V36" s="125">
        <f t="shared" si="6"/>
        <v>-489.38000000000045</v>
      </c>
      <c r="W36" s="91">
        <f t="shared" si="2"/>
        <v>616409344.72084987</v>
      </c>
      <c r="X36" s="68" t="s">
        <v>116</v>
      </c>
      <c r="Y36" s="68" t="s">
        <v>117</v>
      </c>
      <c r="Z36" s="68" t="s">
        <v>103</v>
      </c>
      <c r="AA36" s="68" t="s">
        <v>103</v>
      </c>
      <c r="AB36" s="68" t="s">
        <v>237</v>
      </c>
      <c r="AC36" s="68" t="s">
        <v>105</v>
      </c>
      <c r="AD36" s="68" t="s">
        <v>33</v>
      </c>
      <c r="AE36" s="99"/>
      <c r="AF36" s="92"/>
    </row>
    <row r="37" spans="2:43">
      <c r="B37" s="120">
        <v>45503</v>
      </c>
      <c r="C37" s="67" t="s">
        <v>98</v>
      </c>
      <c r="D37" s="67" t="s">
        <v>99</v>
      </c>
      <c r="E37" s="67" t="s">
        <v>100</v>
      </c>
      <c r="F37" s="67" t="s">
        <v>238</v>
      </c>
      <c r="G37" s="67" t="s">
        <v>102</v>
      </c>
      <c r="H37" s="67" t="s">
        <v>239</v>
      </c>
      <c r="I37" s="67" t="s">
        <v>113</v>
      </c>
      <c r="J37" s="72">
        <v>45621</v>
      </c>
      <c r="K37" s="67" t="s">
        <v>147</v>
      </c>
      <c r="L37" s="67" t="s">
        <v>234</v>
      </c>
      <c r="M37" s="67" t="s">
        <v>240</v>
      </c>
      <c r="N37" s="67" t="s">
        <v>240</v>
      </c>
      <c r="O37" s="67" t="s">
        <v>103</v>
      </c>
      <c r="P37" s="67" t="s">
        <v>115</v>
      </c>
      <c r="Q37" s="89">
        <v>284081</v>
      </c>
      <c r="R37" s="89">
        <v>1.1000000000000001</v>
      </c>
      <c r="S37" s="89">
        <v>0.92</v>
      </c>
      <c r="T37" s="124">
        <f t="shared" si="9"/>
        <v>312489.10000000003</v>
      </c>
      <c r="U37" s="124">
        <v>0.1</v>
      </c>
      <c r="V37" s="124">
        <f t="shared" si="6"/>
        <v>284081</v>
      </c>
      <c r="W37" s="89">
        <f t="shared" si="2"/>
        <v>616409344.72084987</v>
      </c>
      <c r="X37" s="67" t="s">
        <v>109</v>
      </c>
      <c r="Y37" s="67" t="s">
        <v>110</v>
      </c>
      <c r="Z37" s="67" t="s">
        <v>103</v>
      </c>
      <c r="AA37" s="67" t="s">
        <v>103</v>
      </c>
      <c r="AB37" s="67" t="s">
        <v>240</v>
      </c>
      <c r="AC37" s="67" t="s">
        <v>105</v>
      </c>
      <c r="AD37" s="67" t="s">
        <v>33</v>
      </c>
      <c r="AE37" s="97"/>
      <c r="AF37" s="90"/>
    </row>
    <row r="38" spans="2:43">
      <c r="B38" s="121">
        <v>45503</v>
      </c>
      <c r="C38" s="68" t="s">
        <v>98</v>
      </c>
      <c r="D38" s="68" t="s">
        <v>99</v>
      </c>
      <c r="E38" s="68" t="s">
        <v>100</v>
      </c>
      <c r="F38" s="68" t="s">
        <v>241</v>
      </c>
      <c r="G38" s="68" t="s">
        <v>112</v>
      </c>
      <c r="H38" s="68" t="s">
        <v>172</v>
      </c>
      <c r="I38" s="68" t="s">
        <v>113</v>
      </c>
      <c r="J38" s="68" t="s">
        <v>103</v>
      </c>
      <c r="K38" s="68" t="s">
        <v>44</v>
      </c>
      <c r="L38" s="68" t="s">
        <v>242</v>
      </c>
      <c r="M38" s="68" t="s">
        <v>103</v>
      </c>
      <c r="N38" s="68" t="s">
        <v>103</v>
      </c>
      <c r="O38" s="68" t="s">
        <v>103</v>
      </c>
      <c r="P38" s="68" t="s">
        <v>115</v>
      </c>
      <c r="Q38" s="91">
        <v>-4783889</v>
      </c>
      <c r="R38" s="91">
        <v>1</v>
      </c>
      <c r="S38" s="91">
        <v>0.92</v>
      </c>
      <c r="T38" s="125">
        <f t="shared" ref="T38:T41" si="10">Q38</f>
        <v>-4783889</v>
      </c>
      <c r="U38" s="125">
        <v>1</v>
      </c>
      <c r="V38" s="125">
        <f t="shared" ref="V38:V41" si="11">T38</f>
        <v>-4783889</v>
      </c>
      <c r="W38" s="91">
        <f t="shared" si="2"/>
        <v>616409344.72084987</v>
      </c>
      <c r="X38" s="68" t="s">
        <v>116</v>
      </c>
      <c r="Y38" s="68" t="s">
        <v>117</v>
      </c>
      <c r="Z38" s="68" t="s">
        <v>103</v>
      </c>
      <c r="AA38" s="68" t="s">
        <v>103</v>
      </c>
      <c r="AB38" s="68" t="s">
        <v>103</v>
      </c>
      <c r="AC38" s="68" t="s">
        <v>103</v>
      </c>
      <c r="AD38" s="68" t="s">
        <v>103</v>
      </c>
      <c r="AE38" s="99"/>
      <c r="AF38" s="92"/>
    </row>
    <row r="39" spans="2:43">
      <c r="B39" s="120">
        <v>45503</v>
      </c>
      <c r="C39" s="67" t="s">
        <v>98</v>
      </c>
      <c r="D39" s="67" t="s">
        <v>99</v>
      </c>
      <c r="E39" s="67" t="s">
        <v>100</v>
      </c>
      <c r="F39" s="67" t="s">
        <v>243</v>
      </c>
      <c r="G39" s="67" t="s">
        <v>102</v>
      </c>
      <c r="H39" s="67" t="s">
        <v>244</v>
      </c>
      <c r="I39" s="67" t="s">
        <v>100</v>
      </c>
      <c r="J39" s="67" t="s">
        <v>103</v>
      </c>
      <c r="K39" s="67" t="s">
        <v>44</v>
      </c>
      <c r="L39" s="67" t="s">
        <v>242</v>
      </c>
      <c r="M39" s="67" t="s">
        <v>103</v>
      </c>
      <c r="N39" s="67" t="s">
        <v>103</v>
      </c>
      <c r="O39" s="67" t="s">
        <v>103</v>
      </c>
      <c r="P39" s="67" t="s">
        <v>245</v>
      </c>
      <c r="Q39" s="89">
        <v>9677271</v>
      </c>
      <c r="R39" s="89">
        <v>1</v>
      </c>
      <c r="S39" s="89">
        <v>1</v>
      </c>
      <c r="T39" s="124">
        <f t="shared" si="10"/>
        <v>9677271</v>
      </c>
      <c r="U39" s="124">
        <v>1</v>
      </c>
      <c r="V39" s="124">
        <f t="shared" si="11"/>
        <v>9677271</v>
      </c>
      <c r="W39" s="89">
        <f t="shared" si="2"/>
        <v>616409344.72084987</v>
      </c>
      <c r="X39" s="67" t="s">
        <v>116</v>
      </c>
      <c r="Y39" s="67" t="s">
        <v>117</v>
      </c>
      <c r="Z39" s="67" t="s">
        <v>103</v>
      </c>
      <c r="AA39" s="67" t="s">
        <v>103</v>
      </c>
      <c r="AB39" s="67" t="s">
        <v>103</v>
      </c>
      <c r="AC39" s="67" t="s">
        <v>103</v>
      </c>
      <c r="AD39" s="67" t="s">
        <v>103</v>
      </c>
      <c r="AE39" s="97"/>
      <c r="AF39" s="90"/>
    </row>
    <row r="40" spans="2:43">
      <c r="B40" s="121">
        <v>45503</v>
      </c>
      <c r="C40" s="68" t="s">
        <v>98</v>
      </c>
      <c r="D40" s="68" t="s">
        <v>99</v>
      </c>
      <c r="E40" s="68" t="s">
        <v>100</v>
      </c>
      <c r="F40" s="68" t="s">
        <v>241</v>
      </c>
      <c r="G40" s="68" t="s">
        <v>102</v>
      </c>
      <c r="H40" s="68" t="s">
        <v>244</v>
      </c>
      <c r="I40" s="68" t="s">
        <v>113</v>
      </c>
      <c r="J40" s="68" t="s">
        <v>103</v>
      </c>
      <c r="K40" s="68" t="s">
        <v>44</v>
      </c>
      <c r="L40" s="68" t="s">
        <v>242</v>
      </c>
      <c r="M40" s="68" t="s">
        <v>103</v>
      </c>
      <c r="N40" s="68" t="s">
        <v>103</v>
      </c>
      <c r="O40" s="68" t="s">
        <v>103</v>
      </c>
      <c r="P40" s="68" t="s">
        <v>245</v>
      </c>
      <c r="Q40" s="91">
        <f>9677271*0.8</f>
        <v>7741816.8000000007</v>
      </c>
      <c r="R40" s="93">
        <v>1</v>
      </c>
      <c r="S40" s="93">
        <v>0.92</v>
      </c>
      <c r="T40" s="126">
        <f t="shared" si="10"/>
        <v>7741816.8000000007</v>
      </c>
      <c r="U40" s="126">
        <v>1</v>
      </c>
      <c r="V40" s="126">
        <f t="shared" si="11"/>
        <v>7741816.8000000007</v>
      </c>
      <c r="W40" s="91">
        <f t="shared" si="2"/>
        <v>616409344.72084987</v>
      </c>
      <c r="X40" s="68" t="s">
        <v>116</v>
      </c>
      <c r="Y40" s="68" t="s">
        <v>117</v>
      </c>
      <c r="Z40" s="68" t="s">
        <v>103</v>
      </c>
      <c r="AA40" s="68" t="s">
        <v>103</v>
      </c>
      <c r="AB40" s="68" t="s">
        <v>103</v>
      </c>
      <c r="AC40" s="68" t="s">
        <v>103</v>
      </c>
      <c r="AD40" s="68" t="s">
        <v>103</v>
      </c>
      <c r="AE40" s="99"/>
      <c r="AF40" s="92"/>
    </row>
    <row r="41" spans="2:43">
      <c r="B41" s="120">
        <v>45503</v>
      </c>
      <c r="C41" s="67" t="s">
        <v>98</v>
      </c>
      <c r="D41" s="67" t="s">
        <v>99</v>
      </c>
      <c r="E41" s="67" t="s">
        <v>100</v>
      </c>
      <c r="F41" s="67" t="s">
        <v>243</v>
      </c>
      <c r="G41" s="67" t="s">
        <v>102</v>
      </c>
      <c r="H41" s="67" t="s">
        <v>246</v>
      </c>
      <c r="I41" s="67" t="s">
        <v>100</v>
      </c>
      <c r="J41" s="67" t="s">
        <v>103</v>
      </c>
      <c r="K41" s="67" t="s">
        <v>44</v>
      </c>
      <c r="L41" s="67" t="s">
        <v>242</v>
      </c>
      <c r="M41" s="67" t="s">
        <v>103</v>
      </c>
      <c r="N41" s="67" t="s">
        <v>103</v>
      </c>
      <c r="O41" s="67" t="s">
        <v>103</v>
      </c>
      <c r="P41" s="67" t="s">
        <v>153</v>
      </c>
      <c r="Q41" s="94">
        <f>9677271*0.95</f>
        <v>9193407.4499999993</v>
      </c>
      <c r="R41" s="94">
        <v>1</v>
      </c>
      <c r="S41" s="94">
        <v>1</v>
      </c>
      <c r="T41" s="127">
        <f t="shared" si="10"/>
        <v>9193407.4499999993</v>
      </c>
      <c r="U41" s="127">
        <v>1</v>
      </c>
      <c r="V41" s="127">
        <f t="shared" si="11"/>
        <v>9193407.4499999993</v>
      </c>
      <c r="W41" s="89">
        <f t="shared" si="2"/>
        <v>616409344.72084987</v>
      </c>
      <c r="X41" s="67" t="s">
        <v>116</v>
      </c>
      <c r="Y41" s="67" t="s">
        <v>117</v>
      </c>
      <c r="Z41" s="67" t="s">
        <v>103</v>
      </c>
      <c r="AA41" s="67" t="s">
        <v>103</v>
      </c>
      <c r="AB41" s="67" t="s">
        <v>103</v>
      </c>
      <c r="AC41" s="67" t="s">
        <v>103</v>
      </c>
      <c r="AD41" s="67" t="s">
        <v>103</v>
      </c>
      <c r="AE41" s="97"/>
      <c r="AF41" s="90"/>
    </row>
    <row r="42" spans="2:43">
      <c r="B42" s="121">
        <v>45503</v>
      </c>
      <c r="C42" s="68" t="s">
        <v>98</v>
      </c>
      <c r="D42" s="68" t="s">
        <v>99</v>
      </c>
      <c r="E42" s="68" t="s">
        <v>100</v>
      </c>
      <c r="F42" s="68" t="s">
        <v>247</v>
      </c>
      <c r="G42" s="68" t="s">
        <v>112</v>
      </c>
      <c r="H42" s="68" t="s">
        <v>172</v>
      </c>
      <c r="I42" s="68" t="s">
        <v>113</v>
      </c>
      <c r="J42" s="70">
        <v>45575</v>
      </c>
      <c r="K42" s="68" t="s">
        <v>248</v>
      </c>
      <c r="L42" s="68" t="s">
        <v>43</v>
      </c>
      <c r="M42" s="68" t="s">
        <v>103</v>
      </c>
      <c r="N42" s="68" t="s">
        <v>103</v>
      </c>
      <c r="O42" s="68" t="s">
        <v>103</v>
      </c>
      <c r="P42" s="68" t="s">
        <v>115</v>
      </c>
      <c r="Q42" s="91">
        <v>-34760800</v>
      </c>
      <c r="R42" s="91">
        <v>0.91200000000000003</v>
      </c>
      <c r="S42" s="91">
        <v>0.92</v>
      </c>
      <c r="T42" s="125">
        <f t="shared" ref="T42:T46" si="12">V42</f>
        <v>-660455.20000000054</v>
      </c>
      <c r="U42" s="125">
        <v>0.89300000000000002</v>
      </c>
      <c r="V42" s="125">
        <f t="shared" ref="V42:V46" si="13">Q42*(R42-U42)</f>
        <v>-660455.20000000054</v>
      </c>
      <c r="W42" s="91">
        <f t="shared" si="2"/>
        <v>616409344.72084987</v>
      </c>
      <c r="X42" s="68" t="s">
        <v>116</v>
      </c>
      <c r="Y42" s="68" t="s">
        <v>117</v>
      </c>
      <c r="Z42" s="68" t="s">
        <v>103</v>
      </c>
      <c r="AA42" s="68" t="s">
        <v>103</v>
      </c>
      <c r="AB42" s="68" t="s">
        <v>103</v>
      </c>
      <c r="AC42" s="68" t="s">
        <v>103</v>
      </c>
      <c r="AD42" s="68" t="s">
        <v>103</v>
      </c>
      <c r="AE42" s="99"/>
      <c r="AF42" s="92"/>
    </row>
    <row r="43" spans="2:43">
      <c r="B43" s="120">
        <v>45503</v>
      </c>
      <c r="C43" s="67" t="s">
        <v>98</v>
      </c>
      <c r="D43" s="67" t="s">
        <v>99</v>
      </c>
      <c r="E43" s="67" t="s">
        <v>100</v>
      </c>
      <c r="F43" s="67" t="s">
        <v>249</v>
      </c>
      <c r="G43" s="67" t="s">
        <v>102</v>
      </c>
      <c r="H43" s="67" t="s">
        <v>246</v>
      </c>
      <c r="I43" s="67" t="s">
        <v>137</v>
      </c>
      <c r="J43" s="72">
        <v>45561</v>
      </c>
      <c r="K43" s="67" t="s">
        <v>248</v>
      </c>
      <c r="L43" s="67" t="s">
        <v>43</v>
      </c>
      <c r="M43" s="67" t="s">
        <v>103</v>
      </c>
      <c r="N43" s="67" t="s">
        <v>103</v>
      </c>
      <c r="O43" s="67" t="s">
        <v>103</v>
      </c>
      <c r="P43" s="67" t="s">
        <v>153</v>
      </c>
      <c r="Q43" s="89">
        <v>35472800</v>
      </c>
      <c r="R43" s="89">
        <v>6.5000000000000002E-2</v>
      </c>
      <c r="S43" s="89">
        <v>6.2E-2</v>
      </c>
      <c r="T43" s="124">
        <f t="shared" si="12"/>
        <v>-141891.20000000013</v>
      </c>
      <c r="U43" s="124">
        <v>6.9000000000000006E-2</v>
      </c>
      <c r="V43" s="124">
        <f t="shared" si="13"/>
        <v>-141891.20000000013</v>
      </c>
      <c r="W43" s="89">
        <f t="shared" si="2"/>
        <v>616409344.72084987</v>
      </c>
      <c r="X43" s="67" t="s">
        <v>130</v>
      </c>
      <c r="Y43" s="67" t="s">
        <v>117</v>
      </c>
      <c r="Z43" s="67" t="s">
        <v>103</v>
      </c>
      <c r="AA43" s="67" t="s">
        <v>103</v>
      </c>
      <c r="AB43" s="67" t="s">
        <v>103</v>
      </c>
      <c r="AC43" s="67" t="s">
        <v>103</v>
      </c>
      <c r="AD43" s="67" t="s">
        <v>103</v>
      </c>
      <c r="AE43" s="97"/>
      <c r="AF43" s="90"/>
    </row>
    <row r="44" spans="2:43">
      <c r="B44" s="121">
        <v>45503</v>
      </c>
      <c r="C44" s="68" t="s">
        <v>98</v>
      </c>
      <c r="D44" s="68" t="s">
        <v>99</v>
      </c>
      <c r="E44" s="68" t="s">
        <v>100</v>
      </c>
      <c r="F44" s="68" t="s">
        <v>250</v>
      </c>
      <c r="G44" s="68" t="s">
        <v>102</v>
      </c>
      <c r="H44" s="68" t="s">
        <v>202</v>
      </c>
      <c r="I44" s="68" t="s">
        <v>203</v>
      </c>
      <c r="J44" s="70">
        <v>45559</v>
      </c>
      <c r="K44" s="68" t="s">
        <v>248</v>
      </c>
      <c r="L44" s="68" t="s">
        <v>43</v>
      </c>
      <c r="M44" s="68" t="s">
        <v>103</v>
      </c>
      <c r="N44" s="68" t="s">
        <v>103</v>
      </c>
      <c r="O44" s="68" t="s">
        <v>103</v>
      </c>
      <c r="P44" s="68" t="s">
        <v>245</v>
      </c>
      <c r="Q44" s="91">
        <v>75399300</v>
      </c>
      <c r="R44" s="91">
        <v>0.14000000000000001</v>
      </c>
      <c r="S44" s="91">
        <v>0.13</v>
      </c>
      <c r="T44" s="125">
        <f t="shared" si="12"/>
        <v>753993.0000000007</v>
      </c>
      <c r="U44" s="125">
        <v>0.13</v>
      </c>
      <c r="V44" s="125">
        <f t="shared" si="13"/>
        <v>753993.0000000007</v>
      </c>
      <c r="W44" s="91">
        <f t="shared" si="2"/>
        <v>616409344.72084987</v>
      </c>
      <c r="X44" s="68" t="s">
        <v>130</v>
      </c>
      <c r="Y44" s="68" t="s">
        <v>117</v>
      </c>
      <c r="Z44" s="68" t="s">
        <v>103</v>
      </c>
      <c r="AA44" s="68" t="s">
        <v>103</v>
      </c>
      <c r="AB44" s="68" t="s">
        <v>103</v>
      </c>
      <c r="AC44" s="68" t="s">
        <v>103</v>
      </c>
      <c r="AD44" s="68" t="s">
        <v>103</v>
      </c>
      <c r="AE44" s="99"/>
      <c r="AF44" s="92"/>
    </row>
    <row r="45" spans="2:43">
      <c r="B45" s="120">
        <v>45503</v>
      </c>
      <c r="C45" s="67" t="s">
        <v>98</v>
      </c>
      <c r="D45" s="67" t="s">
        <v>99</v>
      </c>
      <c r="E45" s="67" t="s">
        <v>100</v>
      </c>
      <c r="F45" s="67" t="s">
        <v>251</v>
      </c>
      <c r="G45" s="67" t="s">
        <v>102</v>
      </c>
      <c r="H45" s="67" t="s">
        <v>191</v>
      </c>
      <c r="I45" s="67" t="s">
        <v>169</v>
      </c>
      <c r="J45" s="72">
        <v>45589</v>
      </c>
      <c r="K45" s="67" t="s">
        <v>248</v>
      </c>
      <c r="L45" s="67" t="s">
        <v>43</v>
      </c>
      <c r="M45" s="67" t="s">
        <v>103</v>
      </c>
      <c r="N45" s="67" t="s">
        <v>103</v>
      </c>
      <c r="O45" s="67" t="s">
        <v>103</v>
      </c>
      <c r="P45" s="67" t="s">
        <v>245</v>
      </c>
      <c r="Q45" s="89">
        <v>46574800</v>
      </c>
      <c r="R45" s="89">
        <v>1.1100000000000001</v>
      </c>
      <c r="S45" s="89">
        <v>1.06</v>
      </c>
      <c r="T45" s="124">
        <f t="shared" si="12"/>
        <v>1862992.0000000016</v>
      </c>
      <c r="U45" s="124">
        <v>1.07</v>
      </c>
      <c r="V45" s="124">
        <f t="shared" si="13"/>
        <v>1862992.0000000016</v>
      </c>
      <c r="W45" s="89">
        <f t="shared" si="2"/>
        <v>616409344.72084987</v>
      </c>
      <c r="X45" s="67" t="s">
        <v>130</v>
      </c>
      <c r="Y45" s="67" t="s">
        <v>117</v>
      </c>
      <c r="Z45" s="67" t="s">
        <v>103</v>
      </c>
      <c r="AA45" s="67" t="s">
        <v>103</v>
      </c>
      <c r="AB45" s="67" t="s">
        <v>103</v>
      </c>
      <c r="AC45" s="67" t="s">
        <v>103</v>
      </c>
      <c r="AD45" s="67" t="s">
        <v>103</v>
      </c>
      <c r="AE45" s="97"/>
      <c r="AF45" s="90"/>
    </row>
    <row r="46" spans="2:43">
      <c r="B46" s="121">
        <v>45503</v>
      </c>
      <c r="C46" s="68" t="s">
        <v>98</v>
      </c>
      <c r="D46" s="68" t="s">
        <v>99</v>
      </c>
      <c r="E46" s="68" t="s">
        <v>100</v>
      </c>
      <c r="F46" s="68" t="s">
        <v>252</v>
      </c>
      <c r="G46" s="68" t="s">
        <v>102</v>
      </c>
      <c r="H46" s="116" t="s">
        <v>157</v>
      </c>
      <c r="I46" s="116" t="s">
        <v>100</v>
      </c>
      <c r="J46" s="117">
        <v>45565</v>
      </c>
      <c r="K46" s="116" t="s">
        <v>147</v>
      </c>
      <c r="L46" s="116" t="s">
        <v>148</v>
      </c>
      <c r="M46" s="116" t="s">
        <v>28</v>
      </c>
      <c r="N46" s="116" t="s">
        <v>28</v>
      </c>
      <c r="O46" s="116" t="s">
        <v>103</v>
      </c>
      <c r="P46" s="116" t="s">
        <v>224</v>
      </c>
      <c r="Q46" s="118">
        <v>6540076</v>
      </c>
      <c r="R46" s="118">
        <v>46.14</v>
      </c>
      <c r="S46" s="118">
        <v>1</v>
      </c>
      <c r="T46" s="128">
        <f t="shared" si="12"/>
        <v>-7128682.8399999756</v>
      </c>
      <c r="U46" s="128">
        <v>47.23</v>
      </c>
      <c r="V46" s="128">
        <f t="shared" si="13"/>
        <v>-7128682.8399999756</v>
      </c>
      <c r="W46" s="118">
        <f t="shared" si="2"/>
        <v>616409344.72084987</v>
      </c>
      <c r="X46" s="116" t="s">
        <v>130</v>
      </c>
      <c r="Y46" s="116" t="s">
        <v>117</v>
      </c>
      <c r="Z46" s="119">
        <v>3.9E-2</v>
      </c>
      <c r="AA46" s="116" t="s">
        <v>103</v>
      </c>
      <c r="AB46" s="116" t="s">
        <v>253</v>
      </c>
      <c r="AC46" s="116" t="s">
        <v>125</v>
      </c>
      <c r="AD46" s="116" t="s">
        <v>159</v>
      </c>
      <c r="AE46" s="99"/>
      <c r="AF46" s="92"/>
      <c r="AQ46" s="5"/>
    </row>
    <row r="47" spans="2:43">
      <c r="B47" s="95"/>
      <c r="C47" s="96"/>
      <c r="D47" s="96"/>
      <c r="E47" s="96"/>
      <c r="F47" s="96"/>
      <c r="G47" s="96"/>
      <c r="H47" s="114"/>
      <c r="I47" s="114"/>
      <c r="J47" s="114"/>
      <c r="K47" s="114"/>
      <c r="L47" s="114"/>
      <c r="M47" s="114"/>
      <c r="N47" s="114"/>
      <c r="O47" s="114"/>
      <c r="P47" s="114"/>
      <c r="Q47" s="115"/>
      <c r="R47" s="115"/>
      <c r="S47" s="115"/>
      <c r="T47" s="115"/>
      <c r="U47" s="115"/>
      <c r="V47" s="115"/>
      <c r="W47" s="115"/>
      <c r="X47" s="114"/>
      <c r="Y47" s="114"/>
      <c r="Z47" s="114"/>
      <c r="AA47" s="114"/>
      <c r="AB47" s="114"/>
      <c r="AC47" s="114"/>
      <c r="AD47" s="114"/>
      <c r="AE47" s="97"/>
      <c r="AF47" s="90"/>
      <c r="AQ47" s="5"/>
    </row>
    <row r="48" spans="2:43">
      <c r="B48" s="98"/>
      <c r="C48" s="99"/>
      <c r="D48" s="99"/>
      <c r="E48" s="99"/>
      <c r="F48" s="99"/>
      <c r="G48" s="99"/>
      <c r="H48" s="99"/>
      <c r="I48" s="99"/>
      <c r="J48" s="99"/>
      <c r="K48" s="99"/>
      <c r="L48" s="99"/>
      <c r="M48" s="99"/>
      <c r="N48" s="99"/>
      <c r="O48" s="99"/>
      <c r="P48" s="99"/>
      <c r="Q48" s="100"/>
      <c r="R48" s="100"/>
      <c r="S48" s="100"/>
      <c r="T48" s="100"/>
      <c r="U48" s="100"/>
      <c r="V48" s="100"/>
      <c r="W48" s="100"/>
      <c r="X48" s="99"/>
      <c r="Y48" s="99"/>
      <c r="Z48" s="99"/>
      <c r="AA48" s="99"/>
      <c r="AB48" s="99"/>
      <c r="AC48" s="99"/>
      <c r="AD48" s="99"/>
      <c r="AE48" s="99"/>
      <c r="AF48" s="101"/>
      <c r="AQ48" s="5"/>
    </row>
    <row r="49" spans="2:43">
      <c r="B49" s="102"/>
      <c r="C49" s="97"/>
      <c r="D49" s="97"/>
      <c r="E49" s="97"/>
      <c r="F49" s="97"/>
      <c r="G49" s="97"/>
      <c r="H49" s="97"/>
      <c r="I49" s="97"/>
      <c r="J49" s="97"/>
      <c r="K49" s="97"/>
      <c r="L49" s="97"/>
      <c r="M49" s="97"/>
      <c r="N49" s="97"/>
      <c r="O49" s="97"/>
      <c r="P49" s="97"/>
      <c r="Q49" s="103"/>
      <c r="R49" s="103"/>
      <c r="S49" s="103"/>
      <c r="T49" s="103"/>
      <c r="U49" s="103"/>
      <c r="V49" s="103"/>
      <c r="W49" s="103"/>
      <c r="X49" s="97"/>
      <c r="Y49" s="97"/>
      <c r="Z49" s="97"/>
      <c r="AA49" s="97"/>
      <c r="AB49" s="97"/>
      <c r="AC49" s="97"/>
      <c r="AD49" s="97"/>
      <c r="AE49" s="97"/>
      <c r="AF49" s="104"/>
      <c r="AQ49" s="5"/>
    </row>
    <row r="50" spans="2:43">
      <c r="B50" s="105"/>
      <c r="C50" s="106"/>
      <c r="D50" s="106"/>
      <c r="E50" s="106"/>
      <c r="F50" s="106"/>
      <c r="G50" s="106"/>
      <c r="H50" s="106"/>
      <c r="I50" s="106"/>
      <c r="J50" s="106"/>
      <c r="K50" s="106"/>
      <c r="L50" s="106"/>
      <c r="M50" s="106"/>
      <c r="N50" s="106"/>
      <c r="O50" s="106"/>
      <c r="P50" s="106"/>
      <c r="Q50" s="107"/>
      <c r="R50" s="107"/>
      <c r="S50" s="107"/>
      <c r="T50" s="107"/>
      <c r="U50" s="107"/>
      <c r="V50" s="107"/>
      <c r="W50" s="107"/>
      <c r="X50" s="106"/>
      <c r="Y50" s="106"/>
      <c r="Z50" s="106"/>
      <c r="AA50" s="106"/>
      <c r="AB50" s="106"/>
      <c r="AC50" s="106"/>
      <c r="AD50" s="106"/>
      <c r="AE50" s="106"/>
      <c r="AF50" s="108"/>
      <c r="AQ50" s="5"/>
    </row>
    <row r="51" spans="2:43">
      <c r="AQ51" s="5"/>
    </row>
    <row r="52" spans="2:43">
      <c r="AQ52" s="5"/>
    </row>
    <row r="53" spans="2:43">
      <c r="AQ53" s="5"/>
    </row>
    <row r="54" spans="2:43">
      <c r="AQ54" s="5"/>
    </row>
    <row r="55" spans="2:43">
      <c r="AQ55" s="5"/>
    </row>
    <row r="56" spans="2:43">
      <c r="AQ56" s="5"/>
    </row>
    <row r="57" spans="2:43">
      <c r="AQ57" s="5"/>
    </row>
    <row r="58" spans="2:43">
      <c r="AQ58" s="5"/>
    </row>
    <row r="59" spans="2:43">
      <c r="AQ59" s="5"/>
    </row>
    <row r="60" spans="2:43">
      <c r="AQ60" s="5"/>
    </row>
    <row r="61" spans="2:43">
      <c r="AQ61" s="5"/>
    </row>
    <row r="62" spans="2:43">
      <c r="AQ62" s="5"/>
    </row>
    <row r="63" spans="2:43">
      <c r="AQ63" s="5"/>
    </row>
    <row r="64" spans="2:43">
      <c r="AQ64" s="5"/>
    </row>
    <row r="65" spans="43:43">
      <c r="AQ65" s="5"/>
    </row>
    <row r="66" spans="43:43">
      <c r="AQ66" s="5"/>
    </row>
    <row r="67" spans="43:43">
      <c r="AQ67" s="5"/>
    </row>
    <row r="68" spans="43:43">
      <c r="AQ68" s="5"/>
    </row>
    <row r="69" spans="43:43">
      <c r="AQ69" s="5"/>
    </row>
    <row r="70" spans="43:43">
      <c r="AQ70" s="5"/>
    </row>
    <row r="71" spans="43:43">
      <c r="AQ71" s="5"/>
    </row>
    <row r="72" spans="43:43">
      <c r="AQ72" s="5"/>
    </row>
    <row r="73" spans="43:43">
      <c r="AQ73" s="5"/>
    </row>
    <row r="74" spans="43:43">
      <c r="AQ74" s="5"/>
    </row>
    <row r="75" spans="43:43">
      <c r="AQ75" s="5"/>
    </row>
    <row r="76" spans="43:43">
      <c r="AQ76" s="5"/>
    </row>
    <row r="77" spans="43:43">
      <c r="AQ77" s="5"/>
    </row>
    <row r="78" spans="43:43">
      <c r="AQ78" s="5"/>
    </row>
    <row r="79" spans="43:43">
      <c r="AQ79" s="5"/>
    </row>
    <row r="80" spans="43:43">
      <c r="AQ80" s="5"/>
    </row>
    <row r="81" spans="43:43">
      <c r="AQ81" s="5"/>
    </row>
    <row r="82" spans="43:43">
      <c r="AQ82" s="5"/>
    </row>
    <row r="83" spans="43:43">
      <c r="AQ83" s="5"/>
    </row>
    <row r="84" spans="43:43">
      <c r="AQ84" s="5"/>
    </row>
    <row r="85" spans="43:43">
      <c r="AQ85" s="5"/>
    </row>
    <row r="86" spans="43:43">
      <c r="AQ86" s="5"/>
    </row>
    <row r="87" spans="43:43">
      <c r="AQ87" s="5"/>
    </row>
  </sheetData>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9</vt:i4>
      </vt:variant>
    </vt:vector>
  </HeadingPairs>
  <TitlesOfParts>
    <vt:vector size="20" baseType="lpstr">
      <vt:lpstr>Introduction</vt:lpstr>
      <vt:lpstr>List of Eligible Security Types</vt:lpstr>
      <vt:lpstr>Data Dictionary</vt:lpstr>
      <vt:lpstr>Sample Data</vt:lpstr>
      <vt:lpstr>Configuration Screen</vt:lpstr>
      <vt:lpstr>Summary </vt:lpstr>
      <vt:lpstr>Funds Breach Check</vt:lpstr>
      <vt:lpstr>New Rule</vt:lpstr>
      <vt:lpstr>List of Compliance Rules</vt:lpstr>
      <vt:lpstr>Pivottable</vt:lpstr>
      <vt:lpstr>Funds_data</vt:lpstr>
      <vt:lpstr>_R1</vt:lpstr>
      <vt:lpstr>Rule_1_Soft_Breach</vt:lpstr>
      <vt:lpstr>Rule_2_Soft_Breaches</vt:lpstr>
      <vt:lpstr>Rule_3_Soft_Breaches</vt:lpstr>
      <vt:lpstr>Rule_5_Soft___Hard_Limit</vt:lpstr>
      <vt:lpstr>Rule_Category__Level_1</vt:lpstr>
      <vt:lpstr>Rule_Category__Level_2</vt:lpstr>
      <vt:lpstr>Rule4</vt:lpstr>
      <vt:lpstr>Rule5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Nisha Sharma</dc:creator>
  <cp:lastModifiedBy>Sathanandh</cp:lastModifiedBy>
  <dcterms:created xsi:type="dcterms:W3CDTF">2024-08-12T14:22:10Z</dcterms:created>
  <dcterms:modified xsi:type="dcterms:W3CDTF">2024-08-22T12:57:45Z</dcterms:modified>
</cp:coreProperties>
</file>