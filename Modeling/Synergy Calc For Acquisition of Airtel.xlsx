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8804A8D-6633-4273-9D19-CF554A234C7C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Tata Comm" sheetId="7" r:id="rId1"/>
    <sheet name="Highlights " sheetId="20" r:id="rId2"/>
    <sheet name="WACC Calc" sheetId="17" r:id="rId3"/>
    <sheet name="Tata-input" sheetId="6" r:id="rId4"/>
    <sheet name="Airtel" sheetId="11" r:id="rId5"/>
    <sheet name="Airtel-input" sheetId="12" r:id="rId6"/>
    <sheet name="Airtel-Tata " sheetId="15" r:id="rId7"/>
    <sheet name="Combined Entity " sheetId="16" r:id="rId8"/>
  </sheets>
  <definedNames>
    <definedName name="Pal_Workbook_GUID" hidden="1">"2E4CQL494CPBDAWXVX8KMMVR"</definedName>
    <definedName name="UPDATE">'Tata-input'!$E$1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15" l="1"/>
  <c r="C11" i="15" s="1"/>
  <c r="C15" i="20"/>
  <c r="D15" i="20"/>
  <c r="G139" i="7"/>
  <c r="F139" i="7"/>
  <c r="S125" i="7"/>
  <c r="D6" i="15"/>
  <c r="C96" i="11"/>
  <c r="D96" i="11"/>
  <c r="E96" i="11"/>
  <c r="F96" i="11"/>
  <c r="G96" i="11"/>
  <c r="H96" i="11"/>
  <c r="I96" i="11"/>
  <c r="J96" i="11"/>
  <c r="K96" i="11"/>
  <c r="B96" i="11"/>
  <c r="I10" i="15"/>
  <c r="G140" i="7" s="1"/>
  <c r="I9" i="15"/>
  <c r="M12" i="15"/>
  <c r="C22" i="11"/>
  <c r="D22" i="11"/>
  <c r="E22" i="11"/>
  <c r="F22" i="11"/>
  <c r="G22" i="11"/>
  <c r="H22" i="11"/>
  <c r="I22" i="11"/>
  <c r="J22" i="11"/>
  <c r="K22" i="11"/>
  <c r="B22" i="11"/>
  <c r="C9" i="15"/>
  <c r="E132" i="11"/>
  <c r="C6" i="15"/>
  <c r="C7" i="15"/>
  <c r="C24" i="16"/>
  <c r="C47" i="16"/>
  <c r="E41" i="16" s="1"/>
  <c r="H26" i="16"/>
  <c r="I26" i="16"/>
  <c r="J26" i="16"/>
  <c r="K26" i="16"/>
  <c r="G26" i="16"/>
  <c r="E34" i="16"/>
  <c r="E28" i="16"/>
  <c r="C16" i="15"/>
  <c r="C8" i="15" s="1"/>
  <c r="D9" i="15"/>
  <c r="E9" i="15" s="1"/>
  <c r="F9" i="15" s="1"/>
  <c r="J128" i="11"/>
  <c r="D122" i="11"/>
  <c r="C19" i="17"/>
  <c r="B4" i="11"/>
  <c r="B95" i="11"/>
  <c r="B93" i="7"/>
  <c r="C109" i="11"/>
  <c r="D109" i="11"/>
  <c r="E109" i="11"/>
  <c r="F109" i="11"/>
  <c r="G109" i="11"/>
  <c r="H109" i="11"/>
  <c r="I111" i="11" s="1"/>
  <c r="I109" i="11"/>
  <c r="J109" i="11"/>
  <c r="K109" i="11"/>
  <c r="B109" i="11"/>
  <c r="C104" i="11"/>
  <c r="D104" i="11"/>
  <c r="E104" i="11"/>
  <c r="F104" i="11"/>
  <c r="G104" i="11"/>
  <c r="H104" i="11"/>
  <c r="I104" i="11"/>
  <c r="J104" i="11"/>
  <c r="K104" i="11"/>
  <c r="B104" i="11"/>
  <c r="C102" i="11"/>
  <c r="D102" i="11"/>
  <c r="E102" i="11"/>
  <c r="F102" i="11"/>
  <c r="G102" i="11"/>
  <c r="H102" i="11"/>
  <c r="I102" i="11"/>
  <c r="J102" i="11"/>
  <c r="K102" i="11"/>
  <c r="B102" i="11"/>
  <c r="C101" i="11"/>
  <c r="D101" i="11"/>
  <c r="E101" i="11"/>
  <c r="F101" i="11"/>
  <c r="G101" i="11"/>
  <c r="H101" i="11"/>
  <c r="I101" i="11"/>
  <c r="J101" i="11"/>
  <c r="K101" i="11"/>
  <c r="B101" i="11"/>
  <c r="C100" i="11"/>
  <c r="D100" i="11"/>
  <c r="E100" i="11"/>
  <c r="F100" i="11"/>
  <c r="G100" i="11"/>
  <c r="H100" i="11"/>
  <c r="I100" i="11"/>
  <c r="J100" i="11"/>
  <c r="K100" i="11"/>
  <c r="B100" i="11"/>
  <c r="P128" i="11"/>
  <c r="B79" i="11"/>
  <c r="B80" i="11" s="1"/>
  <c r="B82" i="11"/>
  <c r="G79" i="11"/>
  <c r="G80" i="11" s="1"/>
  <c r="C82" i="11"/>
  <c r="D82" i="11"/>
  <c r="E82" i="11"/>
  <c r="F82" i="11"/>
  <c r="G82" i="11"/>
  <c r="H82" i="11"/>
  <c r="I82" i="11"/>
  <c r="J82" i="11"/>
  <c r="K82" i="11"/>
  <c r="C79" i="11"/>
  <c r="C80" i="11" s="1"/>
  <c r="D79" i="11"/>
  <c r="D80" i="11" s="1"/>
  <c r="E79" i="11"/>
  <c r="E80" i="11" s="1"/>
  <c r="F79" i="11"/>
  <c r="F80" i="11" s="1"/>
  <c r="H79" i="11"/>
  <c r="H80" i="11" s="1"/>
  <c r="I79" i="11"/>
  <c r="I80" i="11" s="1"/>
  <c r="J79" i="11"/>
  <c r="J80" i="11" s="1"/>
  <c r="K79" i="11"/>
  <c r="K80" i="11" s="1"/>
  <c r="D128" i="11"/>
  <c r="P124" i="11"/>
  <c r="J120" i="11"/>
  <c r="I120" i="11"/>
  <c r="H120" i="11"/>
  <c r="G120" i="11"/>
  <c r="F120" i="11"/>
  <c r="B114" i="11"/>
  <c r="C100" i="7"/>
  <c r="D100" i="7"/>
  <c r="E100" i="7"/>
  <c r="F100" i="7"/>
  <c r="G100" i="7"/>
  <c r="H100" i="7"/>
  <c r="I100" i="7"/>
  <c r="J100" i="7"/>
  <c r="K100" i="7"/>
  <c r="P128" i="7"/>
  <c r="C22" i="17"/>
  <c r="P120" i="7"/>
  <c r="D7" i="15" s="1"/>
  <c r="P126" i="7" l="1"/>
  <c r="C23" i="15"/>
  <c r="C24" i="15" s="1"/>
  <c r="C25" i="15" s="1"/>
  <c r="C26" i="15" s="1"/>
  <c r="C27" i="15" s="1"/>
  <c r="D27" i="15" s="1"/>
  <c r="G111" i="11"/>
  <c r="G105" i="11"/>
  <c r="I105" i="11"/>
  <c r="J105" i="11"/>
  <c r="H105" i="11"/>
  <c r="H107" i="11" s="1"/>
  <c r="E111" i="11"/>
  <c r="F111" i="11"/>
  <c r="F105" i="11"/>
  <c r="K111" i="11"/>
  <c r="P126" i="11"/>
  <c r="K105" i="11"/>
  <c r="D111" i="11"/>
  <c r="B105" i="11"/>
  <c r="C105" i="11"/>
  <c r="D105" i="11"/>
  <c r="E105" i="11"/>
  <c r="J111" i="11"/>
  <c r="H111" i="11"/>
  <c r="C111" i="11"/>
  <c r="D28" i="15" l="1"/>
  <c r="J107" i="11"/>
  <c r="G107" i="11"/>
  <c r="E107" i="11"/>
  <c r="K107" i="11"/>
  <c r="F107" i="11"/>
  <c r="C107" i="11"/>
  <c r="I107" i="11"/>
  <c r="D107" i="11"/>
  <c r="P124" i="7" l="1"/>
  <c r="S126" i="7" s="1"/>
  <c r="D120" i="7" l="1"/>
  <c r="G118" i="7"/>
  <c r="H118" i="7"/>
  <c r="I118" i="7"/>
  <c r="J118" i="7"/>
  <c r="F118" i="7"/>
  <c r="D126" i="7"/>
  <c r="B78" i="7" l="1"/>
  <c r="C6" i="16" s="1"/>
  <c r="B112" i="7"/>
  <c r="C22" i="16" s="1"/>
  <c r="C107" i="7"/>
  <c r="D107" i="7"/>
  <c r="E107" i="7"/>
  <c r="F107" i="7"/>
  <c r="G107" i="7"/>
  <c r="H107" i="7"/>
  <c r="I107" i="7"/>
  <c r="J107" i="7"/>
  <c r="K107" i="7"/>
  <c r="B107" i="7"/>
  <c r="C102" i="7"/>
  <c r="D102" i="7"/>
  <c r="E102" i="7"/>
  <c r="F102" i="7"/>
  <c r="G102" i="7"/>
  <c r="H102" i="7"/>
  <c r="I102" i="7"/>
  <c r="J102" i="7"/>
  <c r="K102" i="7"/>
  <c r="B102" i="7"/>
  <c r="B100" i="7"/>
  <c r="L16" i="7"/>
  <c r="C99" i="7"/>
  <c r="D99" i="7"/>
  <c r="E99" i="7"/>
  <c r="F99" i="7"/>
  <c r="G99" i="7"/>
  <c r="H99" i="7"/>
  <c r="I99" i="7"/>
  <c r="J99" i="7"/>
  <c r="K99" i="7"/>
  <c r="B99" i="7"/>
  <c r="C98" i="7"/>
  <c r="D98" i="7"/>
  <c r="E98" i="7"/>
  <c r="F98" i="7"/>
  <c r="G98" i="7"/>
  <c r="H98" i="7"/>
  <c r="I98" i="7"/>
  <c r="J98" i="7"/>
  <c r="K98" i="7"/>
  <c r="B98" i="7"/>
  <c r="F2" i="7"/>
  <c r="F76" i="7" s="1"/>
  <c r="C84" i="7"/>
  <c r="D12" i="16" s="1"/>
  <c r="D84" i="7"/>
  <c r="E12" i="16" s="1"/>
  <c r="E84" i="7"/>
  <c r="F12" i="16" s="1"/>
  <c r="F84" i="7"/>
  <c r="G12" i="16" s="1"/>
  <c r="G84" i="7"/>
  <c r="H12" i="16" s="1"/>
  <c r="H84" i="7"/>
  <c r="I12" i="16" s="1"/>
  <c r="I84" i="7"/>
  <c r="J12" i="16" s="1"/>
  <c r="J84" i="7"/>
  <c r="K12" i="16" s="1"/>
  <c r="K84" i="7"/>
  <c r="L12" i="16" s="1"/>
  <c r="A64" i="7"/>
  <c r="C81" i="7"/>
  <c r="D9" i="16" s="1"/>
  <c r="D81" i="7"/>
  <c r="E9" i="16" s="1"/>
  <c r="E81" i="7"/>
  <c r="F9" i="16" s="1"/>
  <c r="F81" i="7"/>
  <c r="G9" i="16" s="1"/>
  <c r="G81" i="7"/>
  <c r="H9" i="16" s="1"/>
  <c r="H81" i="7"/>
  <c r="I9" i="16" s="1"/>
  <c r="I81" i="7"/>
  <c r="J9" i="16" s="1"/>
  <c r="J81" i="7"/>
  <c r="K9" i="16" s="1"/>
  <c r="K81" i="7"/>
  <c r="L9" i="16" s="1"/>
  <c r="B81" i="7"/>
  <c r="C9" i="16" s="1"/>
  <c r="B84" i="7"/>
  <c r="C12" i="16" s="1"/>
  <c r="C78" i="7"/>
  <c r="D6" i="16" s="1"/>
  <c r="D78" i="7"/>
  <c r="E6" i="16" s="1"/>
  <c r="E78" i="7"/>
  <c r="F6" i="16" s="1"/>
  <c r="F78" i="7"/>
  <c r="G6" i="16" s="1"/>
  <c r="G78" i="7"/>
  <c r="H6" i="16" s="1"/>
  <c r="H78" i="7"/>
  <c r="I6" i="16" s="1"/>
  <c r="I78" i="7"/>
  <c r="J6" i="16" s="1"/>
  <c r="J78" i="7"/>
  <c r="K6" i="16" s="1"/>
  <c r="K78" i="7"/>
  <c r="L6" i="16" s="1"/>
  <c r="B4" i="7"/>
  <c r="H109" i="7" l="1"/>
  <c r="K109" i="7"/>
  <c r="E109" i="7"/>
  <c r="D103" i="7"/>
  <c r="K103" i="7"/>
  <c r="F109" i="7"/>
  <c r="C103" i="7"/>
  <c r="B103" i="7"/>
  <c r="I109" i="7"/>
  <c r="J103" i="7"/>
  <c r="I103" i="7"/>
  <c r="F103" i="7"/>
  <c r="C109" i="7"/>
  <c r="G109" i="7"/>
  <c r="J109" i="7"/>
  <c r="H103" i="7"/>
  <c r="G103" i="7"/>
  <c r="E103" i="7"/>
  <c r="D109" i="7"/>
  <c r="J105" i="7" l="1"/>
  <c r="K24" i="16" s="1"/>
  <c r="E105" i="7"/>
  <c r="F24" i="16" s="1"/>
  <c r="F105" i="7"/>
  <c r="G24" i="16" s="1"/>
  <c r="K105" i="7"/>
  <c r="L24" i="16" s="1"/>
  <c r="C105" i="7"/>
  <c r="D24" i="16" s="1"/>
  <c r="I105" i="7"/>
  <c r="J24" i="16" s="1"/>
  <c r="D105" i="7"/>
  <c r="E24" i="16" s="1"/>
  <c r="G105" i="7"/>
  <c r="H24" i="16" s="1"/>
  <c r="H105" i="7"/>
  <c r="I24" i="16" s="1"/>
  <c r="L45" i="11" l="1"/>
  <c r="B6" i="12"/>
  <c r="E1" i="12"/>
  <c r="K73" i="11"/>
  <c r="J73" i="11"/>
  <c r="I73" i="11"/>
  <c r="H73" i="11"/>
  <c r="G73" i="11"/>
  <c r="F73" i="11"/>
  <c r="E73" i="11"/>
  <c r="D73" i="11"/>
  <c r="C73" i="11"/>
  <c r="B73" i="11"/>
  <c r="K72" i="11"/>
  <c r="J72" i="11"/>
  <c r="I72" i="11"/>
  <c r="H72" i="11"/>
  <c r="G72" i="11"/>
  <c r="F72" i="11"/>
  <c r="E72" i="11"/>
  <c r="D72" i="11"/>
  <c r="C72" i="11"/>
  <c r="B72" i="11"/>
  <c r="L72" i="11" s="1"/>
  <c r="K71" i="11"/>
  <c r="J71" i="11"/>
  <c r="I71" i="11"/>
  <c r="H71" i="11"/>
  <c r="G71" i="11"/>
  <c r="F71" i="11"/>
  <c r="E71" i="11"/>
  <c r="D71" i="11"/>
  <c r="C71" i="11"/>
  <c r="B71" i="11"/>
  <c r="K70" i="11"/>
  <c r="J70" i="11"/>
  <c r="I70" i="11"/>
  <c r="H70" i="11"/>
  <c r="G70" i="11"/>
  <c r="F70" i="11"/>
  <c r="E70" i="11"/>
  <c r="D70" i="11"/>
  <c r="C70" i="11"/>
  <c r="B70" i="11"/>
  <c r="K69" i="11"/>
  <c r="J69" i="11"/>
  <c r="I69" i="11"/>
  <c r="H69" i="11"/>
  <c r="G69" i="11"/>
  <c r="F69" i="11"/>
  <c r="E69" i="11"/>
  <c r="D69" i="11"/>
  <c r="C69" i="11"/>
  <c r="B69" i="11"/>
  <c r="K68" i="11"/>
  <c r="J68" i="11"/>
  <c r="I68" i="11"/>
  <c r="H68" i="11"/>
  <c r="G68" i="11"/>
  <c r="F68" i="11"/>
  <c r="E68" i="11"/>
  <c r="D68" i="11"/>
  <c r="C68" i="11"/>
  <c r="B68" i="11"/>
  <c r="N66" i="11"/>
  <c r="L13" i="11" s="1"/>
  <c r="K60" i="11"/>
  <c r="J60" i="11"/>
  <c r="I60" i="11"/>
  <c r="H60" i="11"/>
  <c r="G60" i="11"/>
  <c r="F60" i="11"/>
  <c r="E60" i="11"/>
  <c r="D60" i="11"/>
  <c r="C60" i="11"/>
  <c r="B60" i="11"/>
  <c r="K59" i="11"/>
  <c r="J59" i="11"/>
  <c r="I59" i="11"/>
  <c r="H59" i="11"/>
  <c r="G59" i="11"/>
  <c r="F59" i="11"/>
  <c r="E59" i="11"/>
  <c r="D59" i="11"/>
  <c r="C59" i="11"/>
  <c r="B59" i="11"/>
  <c r="K58" i="11"/>
  <c r="J58" i="11"/>
  <c r="I58" i="11"/>
  <c r="H58" i="11"/>
  <c r="G58" i="11"/>
  <c r="F58" i="11"/>
  <c r="E58" i="11"/>
  <c r="D58" i="11"/>
  <c r="C58" i="11"/>
  <c r="B58" i="11"/>
  <c r="K57" i="11"/>
  <c r="J57" i="11"/>
  <c r="I57" i="11"/>
  <c r="H57" i="11"/>
  <c r="G57" i="11"/>
  <c r="F57" i="11"/>
  <c r="E57" i="11"/>
  <c r="D57" i="11"/>
  <c r="C57" i="11"/>
  <c r="B57" i="11"/>
  <c r="K56" i="11"/>
  <c r="J56" i="11"/>
  <c r="I56" i="11"/>
  <c r="H56" i="11"/>
  <c r="G56" i="11"/>
  <c r="F56" i="11"/>
  <c r="E56" i="11"/>
  <c r="D56" i="11"/>
  <c r="C56" i="11"/>
  <c r="B56" i="11"/>
  <c r="M55" i="11"/>
  <c r="K49" i="11"/>
  <c r="K50" i="11" s="1"/>
  <c r="J49" i="11"/>
  <c r="I49" i="11"/>
  <c r="H49" i="11"/>
  <c r="G49" i="11"/>
  <c r="F49" i="11"/>
  <c r="E49" i="11"/>
  <c r="D49" i="11"/>
  <c r="C49" i="11"/>
  <c r="B49" i="11"/>
  <c r="K48" i="11"/>
  <c r="E133" i="11" s="1"/>
  <c r="J48" i="11"/>
  <c r="I48" i="11"/>
  <c r="H48" i="11"/>
  <c r="G48" i="11"/>
  <c r="F48" i="11"/>
  <c r="E48" i="11"/>
  <c r="D48" i="11"/>
  <c r="C48" i="11"/>
  <c r="B48" i="11"/>
  <c r="K46" i="11"/>
  <c r="L46" i="11" s="1"/>
  <c r="J46" i="11"/>
  <c r="I46" i="11"/>
  <c r="H46" i="11"/>
  <c r="G46" i="11"/>
  <c r="F46" i="11"/>
  <c r="E46" i="11"/>
  <c r="D46" i="11"/>
  <c r="C46" i="11"/>
  <c r="B46" i="11"/>
  <c r="K45" i="11"/>
  <c r="J45" i="11"/>
  <c r="I45" i="11"/>
  <c r="H45" i="11"/>
  <c r="G45" i="11"/>
  <c r="F45" i="11"/>
  <c r="E45" i="11"/>
  <c r="D45" i="11"/>
  <c r="C45" i="11"/>
  <c r="B45" i="11"/>
  <c r="K43" i="11"/>
  <c r="J43" i="11"/>
  <c r="I43" i="11"/>
  <c r="H43" i="11"/>
  <c r="G43" i="11"/>
  <c r="F43" i="11"/>
  <c r="E43" i="11"/>
  <c r="D43" i="11"/>
  <c r="C43" i="11"/>
  <c r="B43" i="11"/>
  <c r="K42" i="11"/>
  <c r="J42" i="11"/>
  <c r="I42" i="11"/>
  <c r="H42" i="11"/>
  <c r="G42" i="11"/>
  <c r="F42" i="11"/>
  <c r="E42" i="11"/>
  <c r="D42" i="11"/>
  <c r="C42" i="11"/>
  <c r="B42" i="11"/>
  <c r="K41" i="11"/>
  <c r="J41" i="11"/>
  <c r="I41" i="11"/>
  <c r="H41" i="11"/>
  <c r="R41" i="11" s="1"/>
  <c r="G41" i="11"/>
  <c r="F41" i="11"/>
  <c r="E41" i="11"/>
  <c r="D41" i="11"/>
  <c r="C41" i="11"/>
  <c r="B41" i="11"/>
  <c r="K39" i="11"/>
  <c r="J39" i="11"/>
  <c r="I39" i="11"/>
  <c r="H39" i="11"/>
  <c r="G39" i="11"/>
  <c r="F39" i="11"/>
  <c r="E39" i="11"/>
  <c r="D39" i="11"/>
  <c r="C39" i="11"/>
  <c r="B39" i="11"/>
  <c r="K38" i="11"/>
  <c r="K113" i="11" s="1"/>
  <c r="J38" i="11"/>
  <c r="J113" i="11" s="1"/>
  <c r="I38" i="11"/>
  <c r="H38" i="11"/>
  <c r="H113" i="11" s="1"/>
  <c r="G38" i="11"/>
  <c r="G113" i="11" s="1"/>
  <c r="F38" i="11"/>
  <c r="F113" i="11" s="1"/>
  <c r="E38" i="11"/>
  <c r="E113" i="11" s="1"/>
  <c r="D38" i="11"/>
  <c r="D113" i="11" s="1"/>
  <c r="C38" i="11"/>
  <c r="C113" i="11" s="1"/>
  <c r="B38" i="11"/>
  <c r="B113" i="11" s="1"/>
  <c r="K35" i="11"/>
  <c r="J35" i="11"/>
  <c r="I35" i="11"/>
  <c r="H35" i="11"/>
  <c r="G35" i="11"/>
  <c r="F35" i="11"/>
  <c r="E35" i="11"/>
  <c r="D35" i="11"/>
  <c r="C35" i="11"/>
  <c r="K34" i="11"/>
  <c r="K36" i="11" s="1"/>
  <c r="J34" i="11"/>
  <c r="I34" i="11"/>
  <c r="H34" i="11"/>
  <c r="G34" i="11"/>
  <c r="F34" i="11"/>
  <c r="E34" i="11"/>
  <c r="D34" i="11"/>
  <c r="C34" i="11"/>
  <c r="K33" i="11"/>
  <c r="J33" i="11"/>
  <c r="I33" i="11"/>
  <c r="H33" i="11"/>
  <c r="G33" i="11"/>
  <c r="F33" i="11"/>
  <c r="E33" i="11"/>
  <c r="D33" i="11"/>
  <c r="C33" i="11"/>
  <c r="K26" i="11"/>
  <c r="J26" i="11"/>
  <c r="I26" i="11"/>
  <c r="H26" i="11"/>
  <c r="G26" i="11"/>
  <c r="F26" i="11"/>
  <c r="E26" i="11"/>
  <c r="D26" i="11"/>
  <c r="C26" i="11"/>
  <c r="B26" i="11"/>
  <c r="K25" i="11"/>
  <c r="J25" i="11"/>
  <c r="I25" i="11"/>
  <c r="H25" i="11"/>
  <c r="G25" i="11"/>
  <c r="F25" i="11"/>
  <c r="E25" i="11"/>
  <c r="D25" i="11"/>
  <c r="C25" i="11"/>
  <c r="B25" i="11"/>
  <c r="L25" i="11" s="1"/>
  <c r="K21" i="11"/>
  <c r="M21" i="11" s="1"/>
  <c r="J21" i="11"/>
  <c r="I21" i="11"/>
  <c r="H21" i="11"/>
  <c r="G21" i="11"/>
  <c r="F21" i="11"/>
  <c r="E21" i="11"/>
  <c r="D21" i="11"/>
  <c r="C21" i="11"/>
  <c r="B21" i="11"/>
  <c r="K20" i="11"/>
  <c r="J20" i="11"/>
  <c r="I20" i="11"/>
  <c r="H20" i="11"/>
  <c r="G20" i="11"/>
  <c r="F20" i="11"/>
  <c r="E20" i="11"/>
  <c r="D20" i="11"/>
  <c r="C20" i="11"/>
  <c r="B20" i="11"/>
  <c r="K19" i="11"/>
  <c r="J19" i="11"/>
  <c r="I19" i="11"/>
  <c r="H19" i="11"/>
  <c r="G19" i="11"/>
  <c r="F19" i="11"/>
  <c r="E19" i="11"/>
  <c r="D19" i="11"/>
  <c r="C19" i="11"/>
  <c r="B19" i="11"/>
  <c r="K18" i="11"/>
  <c r="J18" i="11"/>
  <c r="I18" i="11"/>
  <c r="H18" i="11"/>
  <c r="G18" i="11"/>
  <c r="F18" i="11"/>
  <c r="E18" i="11"/>
  <c r="D18" i="11"/>
  <c r="C18" i="11"/>
  <c r="B18" i="11"/>
  <c r="K16" i="11"/>
  <c r="J16" i="11"/>
  <c r="I16" i="11"/>
  <c r="H16" i="11"/>
  <c r="G16" i="11"/>
  <c r="F16" i="11"/>
  <c r="E16" i="11"/>
  <c r="D16" i="11"/>
  <c r="C16" i="11"/>
  <c r="C95" i="11" s="1"/>
  <c r="O15" i="11"/>
  <c r="K15" i="11"/>
  <c r="J15" i="11"/>
  <c r="I15" i="11"/>
  <c r="H15" i="11"/>
  <c r="H17" i="11" s="1"/>
  <c r="G15" i="11"/>
  <c r="F15" i="11"/>
  <c r="E15" i="11"/>
  <c r="D15" i="11"/>
  <c r="C15" i="11"/>
  <c r="B15" i="11"/>
  <c r="O14" i="11"/>
  <c r="K13" i="11"/>
  <c r="J13" i="11"/>
  <c r="I13" i="11"/>
  <c r="H13" i="11"/>
  <c r="G13" i="11"/>
  <c r="F13" i="11"/>
  <c r="E13" i="11"/>
  <c r="D13" i="11"/>
  <c r="C13" i="11"/>
  <c r="B13" i="11"/>
  <c r="O12" i="11"/>
  <c r="K11" i="11"/>
  <c r="J11" i="11"/>
  <c r="J92" i="11" s="1"/>
  <c r="I11" i="11"/>
  <c r="H11" i="11"/>
  <c r="G11" i="11"/>
  <c r="F11" i="11"/>
  <c r="F92" i="11" s="1"/>
  <c r="E11" i="11"/>
  <c r="D11" i="11"/>
  <c r="D92" i="11" s="1"/>
  <c r="C11" i="11"/>
  <c r="B11" i="11"/>
  <c r="K10" i="11"/>
  <c r="J10" i="11"/>
  <c r="J28" i="11" s="1"/>
  <c r="I10" i="11"/>
  <c r="H10" i="11"/>
  <c r="G10" i="11"/>
  <c r="G28" i="11" s="1"/>
  <c r="F10" i="11"/>
  <c r="E10" i="11"/>
  <c r="D10" i="11"/>
  <c r="C10" i="11"/>
  <c r="B10" i="11"/>
  <c r="O9" i="11"/>
  <c r="K9" i="11"/>
  <c r="J9" i="11"/>
  <c r="I9" i="11"/>
  <c r="H9" i="11"/>
  <c r="G9" i="11"/>
  <c r="F9" i="11"/>
  <c r="E9" i="11"/>
  <c r="D9" i="11"/>
  <c r="C9" i="11"/>
  <c r="B9" i="11"/>
  <c r="B86" i="11" s="1"/>
  <c r="K8" i="11"/>
  <c r="K89" i="11" s="1"/>
  <c r="P127" i="11" s="1"/>
  <c r="J8" i="11"/>
  <c r="J89" i="11" s="1"/>
  <c r="I8" i="11"/>
  <c r="I89" i="11" s="1"/>
  <c r="I90" i="11" s="1"/>
  <c r="H8" i="11"/>
  <c r="G8" i="11"/>
  <c r="G89" i="11" s="1"/>
  <c r="G90" i="11" s="1"/>
  <c r="F8" i="11"/>
  <c r="F89" i="11" s="1"/>
  <c r="E8" i="11"/>
  <c r="E89" i="11" s="1"/>
  <c r="E90" i="11" s="1"/>
  <c r="D8" i="11"/>
  <c r="D89" i="11" s="1"/>
  <c r="D90" i="11" s="1"/>
  <c r="C8" i="11"/>
  <c r="C89" i="11" s="1"/>
  <c r="C90" i="11" s="1"/>
  <c r="B8" i="11"/>
  <c r="B89" i="11" s="1"/>
  <c r="K6" i="11"/>
  <c r="J6" i="11"/>
  <c r="I6" i="11"/>
  <c r="H6" i="11"/>
  <c r="G6" i="11"/>
  <c r="F6" i="11"/>
  <c r="E6" i="11"/>
  <c r="D6" i="11"/>
  <c r="C6" i="11"/>
  <c r="B6" i="11"/>
  <c r="K4" i="11"/>
  <c r="J4" i="11"/>
  <c r="I4" i="11"/>
  <c r="H4" i="11"/>
  <c r="G4" i="11"/>
  <c r="G5" i="11" s="1"/>
  <c r="F4" i="11"/>
  <c r="E4" i="11"/>
  <c r="D4" i="11"/>
  <c r="C4" i="11"/>
  <c r="K3" i="11"/>
  <c r="J3" i="11"/>
  <c r="I3" i="11"/>
  <c r="H3" i="11"/>
  <c r="G3" i="11"/>
  <c r="F3" i="11"/>
  <c r="E3" i="11"/>
  <c r="D3" i="11"/>
  <c r="C3" i="11"/>
  <c r="B3" i="11"/>
  <c r="O3" i="11" s="1"/>
  <c r="K2" i="11"/>
  <c r="J2" i="11"/>
  <c r="J76" i="11" s="1"/>
  <c r="I2" i="11"/>
  <c r="H2" i="11"/>
  <c r="G2" i="11"/>
  <c r="F2" i="11"/>
  <c r="E2" i="11"/>
  <c r="D2" i="11"/>
  <c r="D76" i="11" s="1"/>
  <c r="C2" i="11"/>
  <c r="B2" i="11"/>
  <c r="L1" i="11"/>
  <c r="D1" i="11"/>
  <c r="C36" i="11" l="1"/>
  <c r="F28" i="11"/>
  <c r="J29" i="11"/>
  <c r="H50" i="11"/>
  <c r="D36" i="11"/>
  <c r="I17" i="11"/>
  <c r="I29" i="11"/>
  <c r="E7" i="11"/>
  <c r="D17" i="11"/>
  <c r="F114" i="11"/>
  <c r="F95" i="11"/>
  <c r="D114" i="11"/>
  <c r="D116" i="11" s="1"/>
  <c r="D95" i="11"/>
  <c r="K28" i="11"/>
  <c r="E114" i="11"/>
  <c r="E95" i="11"/>
  <c r="F5" i="11"/>
  <c r="J90" i="11"/>
  <c r="G114" i="11"/>
  <c r="G95" i="11"/>
  <c r="L71" i="11"/>
  <c r="H114" i="11"/>
  <c r="H95" i="11"/>
  <c r="J52" i="11"/>
  <c r="J53" i="11" s="1"/>
  <c r="I114" i="11"/>
  <c r="I95" i="11"/>
  <c r="L70" i="11"/>
  <c r="J114" i="11"/>
  <c r="J95" i="11"/>
  <c r="K114" i="11"/>
  <c r="K95" i="11"/>
  <c r="L69" i="11"/>
  <c r="J17" i="11"/>
  <c r="I77" i="11"/>
  <c r="I106" i="11" s="1"/>
  <c r="K17" i="11"/>
  <c r="J77" i="11"/>
  <c r="J78" i="11" s="1"/>
  <c r="L73" i="11"/>
  <c r="J36" i="11"/>
  <c r="G7" i="11"/>
  <c r="G14" i="11"/>
  <c r="E36" i="11"/>
  <c r="Q41" i="11"/>
  <c r="C77" i="11"/>
  <c r="E77" i="11"/>
  <c r="E83" i="11" s="1"/>
  <c r="G77" i="11"/>
  <c r="G83" i="11" s="1"/>
  <c r="H7" i="11"/>
  <c r="K90" i="11"/>
  <c r="E31" i="11"/>
  <c r="E17" i="11"/>
  <c r="S41" i="11"/>
  <c r="O5" i="11"/>
  <c r="B90" i="11"/>
  <c r="B7" i="11"/>
  <c r="B77" i="11"/>
  <c r="B117" i="11" s="1"/>
  <c r="F90" i="11"/>
  <c r="P41" i="11"/>
  <c r="H36" i="11"/>
  <c r="K44" i="11"/>
  <c r="E52" i="11"/>
  <c r="E53" i="11" s="1"/>
  <c r="U26" i="11"/>
  <c r="I28" i="11"/>
  <c r="I113" i="11"/>
  <c r="S49" i="11"/>
  <c r="F17" i="11"/>
  <c r="C55" i="11"/>
  <c r="C76" i="11"/>
  <c r="E110" i="11"/>
  <c r="E81" i="11"/>
  <c r="E84" i="11" s="1"/>
  <c r="E85" i="11" s="1"/>
  <c r="E106" i="11"/>
  <c r="D66" i="11"/>
  <c r="D86" i="11"/>
  <c r="D115" i="11"/>
  <c r="D28" i="11"/>
  <c r="E12" i="11"/>
  <c r="E92" i="11"/>
  <c r="J14" i="11"/>
  <c r="M20" i="11"/>
  <c r="I36" i="11"/>
  <c r="M41" i="11"/>
  <c r="K52" i="11"/>
  <c r="D55" i="11"/>
  <c r="B55" i="11"/>
  <c r="B76" i="11"/>
  <c r="D77" i="11"/>
  <c r="S5" i="11"/>
  <c r="C86" i="11"/>
  <c r="C87" i="11" s="1"/>
  <c r="C115" i="11"/>
  <c r="C28" i="11"/>
  <c r="I14" i="11"/>
  <c r="F14" i="11"/>
  <c r="F77" i="11"/>
  <c r="E86" i="11"/>
  <c r="E87" i="11" s="1"/>
  <c r="E115" i="11"/>
  <c r="E30" i="11"/>
  <c r="C17" i="11"/>
  <c r="C114" i="11"/>
  <c r="O49" i="11"/>
  <c r="J55" i="11"/>
  <c r="I31" i="11"/>
  <c r="K55" i="11"/>
  <c r="K76" i="11"/>
  <c r="C81" i="11"/>
  <c r="C84" i="11" s="1"/>
  <c r="C85" i="11" s="1"/>
  <c r="C83" i="11"/>
  <c r="C110" i="11"/>
  <c r="C106" i="11"/>
  <c r="F55" i="11"/>
  <c r="F76" i="11"/>
  <c r="H5" i="11"/>
  <c r="H77" i="11"/>
  <c r="G66" i="11"/>
  <c r="G115" i="11"/>
  <c r="G86" i="11"/>
  <c r="H12" i="11"/>
  <c r="H92" i="11"/>
  <c r="B50" i="11"/>
  <c r="C50" i="11"/>
  <c r="M58" i="11"/>
  <c r="B66" i="11"/>
  <c r="B115" i="11"/>
  <c r="B116" i="11" s="1"/>
  <c r="C12" i="11"/>
  <c r="C92" i="11"/>
  <c r="C93" i="11" s="1"/>
  <c r="F66" i="11"/>
  <c r="F86" i="11"/>
  <c r="F87" i="11" s="1"/>
  <c r="F115" i="11"/>
  <c r="I83" i="11"/>
  <c r="I110" i="11"/>
  <c r="H66" i="11"/>
  <c r="H115" i="11"/>
  <c r="H86" i="11"/>
  <c r="I12" i="11"/>
  <c r="I92" i="11"/>
  <c r="H55" i="11"/>
  <c r="H76" i="11"/>
  <c r="H30" i="11"/>
  <c r="H89" i="11"/>
  <c r="H90" i="11" s="1"/>
  <c r="I115" i="11"/>
  <c r="I86" i="11"/>
  <c r="I55" i="11"/>
  <c r="I76" i="11"/>
  <c r="K77" i="11"/>
  <c r="J5" i="11"/>
  <c r="J66" i="11"/>
  <c r="J115" i="11"/>
  <c r="J116" i="11" s="1"/>
  <c r="J86" i="11"/>
  <c r="K12" i="11"/>
  <c r="K92" i="11"/>
  <c r="E50" i="11"/>
  <c r="L6" i="11"/>
  <c r="E55" i="11"/>
  <c r="E76" i="11"/>
  <c r="G12" i="11"/>
  <c r="G92" i="11"/>
  <c r="G55" i="11"/>
  <c r="G76" i="11"/>
  <c r="M6" i="11"/>
  <c r="J93" i="11"/>
  <c r="L3" i="11"/>
  <c r="S3" i="11" s="1"/>
  <c r="K5" i="11"/>
  <c r="K66" i="11"/>
  <c r="K115" i="11"/>
  <c r="K116" i="11" s="1"/>
  <c r="K86" i="11"/>
  <c r="K87" i="11" s="1"/>
  <c r="L11" i="11"/>
  <c r="B44" i="11"/>
  <c r="R49" i="11"/>
  <c r="L9" i="11"/>
  <c r="L10" i="11"/>
  <c r="D12" i="11"/>
  <c r="F116" i="11"/>
  <c r="L4" i="11"/>
  <c r="B110" i="11"/>
  <c r="R80" i="11"/>
  <c r="P3" i="11"/>
  <c r="L8" i="11"/>
  <c r="B12" i="11"/>
  <c r="B92" i="11"/>
  <c r="R48" i="11"/>
  <c r="G36" i="11"/>
  <c r="F52" i="11"/>
  <c r="F53" i="11" s="1"/>
  <c r="Q48" i="11"/>
  <c r="F30" i="11"/>
  <c r="Q3" i="11"/>
  <c r="C29" i="11"/>
  <c r="N18" i="11"/>
  <c r="H28" i="11"/>
  <c r="G50" i="11"/>
  <c r="P48" i="11"/>
  <c r="E5" i="11"/>
  <c r="I66" i="11"/>
  <c r="I30" i="11"/>
  <c r="J12" i="11"/>
  <c r="D14" i="11"/>
  <c r="F36" i="11"/>
  <c r="N17" i="11"/>
  <c r="B62" i="11" s="1"/>
  <c r="D44" i="11"/>
  <c r="O48" i="11"/>
  <c r="E28" i="11"/>
  <c r="F44" i="11"/>
  <c r="J50" i="11"/>
  <c r="E44" i="11"/>
  <c r="G29" i="11"/>
  <c r="G44" i="11"/>
  <c r="M56" i="11"/>
  <c r="M59" i="11"/>
  <c r="F7" i="11"/>
  <c r="D29" i="11"/>
  <c r="J31" i="11"/>
  <c r="I44" i="11"/>
  <c r="R6" i="11" s="1"/>
  <c r="M57" i="11"/>
  <c r="E14" i="11"/>
  <c r="H31" i="11"/>
  <c r="C7" i="11"/>
  <c r="M9" i="11"/>
  <c r="G17" i="11"/>
  <c r="J44" i="11"/>
  <c r="P49" i="11"/>
  <c r="I50" i="11"/>
  <c r="M8" i="11"/>
  <c r="K31" i="11"/>
  <c r="D30" i="11"/>
  <c r="F29" i="11"/>
  <c r="O41" i="11"/>
  <c r="M15" i="11"/>
  <c r="I5" i="11"/>
  <c r="E66" i="11"/>
  <c r="F12" i="11"/>
  <c r="O10" i="11"/>
  <c r="O13" i="11" s="1"/>
  <c r="Q49" i="11"/>
  <c r="S48" i="11"/>
  <c r="D50" i="11"/>
  <c r="G52" i="11"/>
  <c r="G53" i="11" s="1"/>
  <c r="C66" i="11"/>
  <c r="D7" i="11"/>
  <c r="C14" i="11"/>
  <c r="E29" i="11"/>
  <c r="H52" i="11"/>
  <c r="H53" i="11" s="1"/>
  <c r="B5" i="11"/>
  <c r="P5" i="11"/>
  <c r="H44" i="11"/>
  <c r="P6" i="11" s="1"/>
  <c r="F50" i="11"/>
  <c r="I52" i="11"/>
  <c r="I53" i="11" s="1"/>
  <c r="K53" i="11"/>
  <c r="B14" i="11"/>
  <c r="G30" i="11"/>
  <c r="C5" i="11"/>
  <c r="Q5" i="11"/>
  <c r="J30" i="11"/>
  <c r="D5" i="11"/>
  <c r="R5" i="11"/>
  <c r="H29" i="11"/>
  <c r="K30" i="11"/>
  <c r="I7" i="11"/>
  <c r="H14" i="11"/>
  <c r="F31" i="11"/>
  <c r="J7" i="11"/>
  <c r="M19" i="11"/>
  <c r="K29" i="11"/>
  <c r="G31" i="11"/>
  <c r="C52" i="11"/>
  <c r="R3" i="11"/>
  <c r="K14" i="11"/>
  <c r="M16" i="11"/>
  <c r="D52" i="11"/>
  <c r="D53" i="11" s="1"/>
  <c r="M13" i="11"/>
  <c r="K7" i="11"/>
  <c r="C30" i="11"/>
  <c r="C44" i="11"/>
  <c r="J83" i="11" l="1"/>
  <c r="J110" i="11"/>
  <c r="J81" i="11"/>
  <c r="J84" i="11" s="1"/>
  <c r="J85" i="11" s="1"/>
  <c r="J87" i="11"/>
  <c r="I93" i="11"/>
  <c r="G106" i="11"/>
  <c r="G110" i="11"/>
  <c r="G87" i="11"/>
  <c r="G81" i="11"/>
  <c r="G84" i="11" s="1"/>
  <c r="G93" i="11"/>
  <c r="H116" i="11"/>
  <c r="H78" i="11"/>
  <c r="E116" i="11"/>
  <c r="I81" i="11"/>
  <c r="I84" i="11" s="1"/>
  <c r="I85" i="11" s="1"/>
  <c r="J106" i="11"/>
  <c r="I87" i="11"/>
  <c r="C117" i="11"/>
  <c r="I117" i="11"/>
  <c r="D87" i="11"/>
  <c r="G117" i="11"/>
  <c r="H87" i="11"/>
  <c r="G88" i="11"/>
  <c r="G91" i="11" s="1"/>
  <c r="G94" i="11" s="1"/>
  <c r="G85" i="11"/>
  <c r="K117" i="11"/>
  <c r="B83" i="11"/>
  <c r="B81" i="11"/>
  <c r="B84" i="11" s="1"/>
  <c r="J117" i="11"/>
  <c r="I88" i="11"/>
  <c r="I91" i="11" s="1"/>
  <c r="I94" i="11" s="1"/>
  <c r="E117" i="11"/>
  <c r="R4" i="11"/>
  <c r="G116" i="11"/>
  <c r="B87" i="11"/>
  <c r="B93" i="11"/>
  <c r="D117" i="11"/>
  <c r="N19" i="11"/>
  <c r="B64" i="11" s="1"/>
  <c r="H117" i="11"/>
  <c r="F117" i="11"/>
  <c r="B106" i="11"/>
  <c r="H93" i="11"/>
  <c r="M17" i="11"/>
  <c r="M22" i="11" s="1"/>
  <c r="L5" i="11"/>
  <c r="S4" i="11" s="1"/>
  <c r="P4" i="11"/>
  <c r="L14" i="11"/>
  <c r="E93" i="11"/>
  <c r="L12" i="11"/>
  <c r="D78" i="11"/>
  <c r="K23" i="11"/>
  <c r="I78" i="11"/>
  <c r="L77" i="11"/>
  <c r="K78" i="11"/>
  <c r="F93" i="11"/>
  <c r="F78" i="11"/>
  <c r="C88" i="11"/>
  <c r="C91" i="11" s="1"/>
  <c r="C94" i="11" s="1"/>
  <c r="E88" i="11"/>
  <c r="E91" i="11" s="1"/>
  <c r="E94" i="11" s="1"/>
  <c r="I23" i="11"/>
  <c r="D93" i="11"/>
  <c r="G78" i="11"/>
  <c r="J88" i="11"/>
  <c r="J91" i="11" s="1"/>
  <c r="J94" i="11" s="1"/>
  <c r="E78" i="11"/>
  <c r="C78" i="11"/>
  <c r="K81" i="11"/>
  <c r="K84" i="11" s="1"/>
  <c r="K83" i="11"/>
  <c r="K106" i="11"/>
  <c r="K110" i="11"/>
  <c r="R90" i="11"/>
  <c r="R87" i="11"/>
  <c r="C116" i="11"/>
  <c r="K93" i="11"/>
  <c r="F23" i="11"/>
  <c r="L7" i="11"/>
  <c r="D81" i="11"/>
  <c r="D84" i="11" s="1"/>
  <c r="D110" i="11"/>
  <c r="D83" i="11"/>
  <c r="D106" i="11"/>
  <c r="I116" i="11"/>
  <c r="M7" i="11"/>
  <c r="H106" i="11"/>
  <c r="H110" i="11"/>
  <c r="H83" i="11"/>
  <c r="H81" i="11"/>
  <c r="H84" i="11" s="1"/>
  <c r="F110" i="11"/>
  <c r="F83" i="11"/>
  <c r="F81" i="11"/>
  <c r="F84" i="11" s="1"/>
  <c r="F106" i="11"/>
  <c r="S6" i="11"/>
  <c r="B63" i="11"/>
  <c r="Q4" i="11"/>
  <c r="G23" i="11"/>
  <c r="H23" i="11"/>
  <c r="M52" i="11"/>
  <c r="M23" i="11" s="1"/>
  <c r="E23" i="11"/>
  <c r="O4" i="11"/>
  <c r="J23" i="11"/>
  <c r="Q6" i="11"/>
  <c r="C53" i="11"/>
  <c r="O6" i="11"/>
  <c r="D88" i="11" l="1"/>
  <c r="D91" i="11" s="1"/>
  <c r="D94" i="11" s="1"/>
  <c r="D85" i="11"/>
  <c r="F88" i="11"/>
  <c r="F91" i="11" s="1"/>
  <c r="F94" i="11" s="1"/>
  <c r="F85" i="11"/>
  <c r="B88" i="11"/>
  <c r="B91" i="11" s="1"/>
  <c r="B94" i="11" s="1"/>
  <c r="B85" i="11"/>
  <c r="H88" i="11"/>
  <c r="H91" i="11" s="1"/>
  <c r="H94" i="11" s="1"/>
  <c r="H85" i="11"/>
  <c r="K88" i="11"/>
  <c r="K91" i="11" s="1"/>
  <c r="K94" i="11" s="1"/>
  <c r="K85" i="11"/>
  <c r="M18" i="11"/>
  <c r="M77" i="11"/>
  <c r="N77" i="11" s="1"/>
  <c r="O77" i="11" s="1"/>
  <c r="P77" i="11" s="1"/>
  <c r="Q77" i="11" s="1"/>
  <c r="L114" i="11"/>
  <c r="F124" i="11" s="1"/>
  <c r="L86" i="11"/>
  <c r="L89" i="11"/>
  <c r="R83" i="11"/>
  <c r="L82" i="11" s="1"/>
  <c r="R93" i="11"/>
  <c r="L92" i="11" s="1"/>
  <c r="L106" i="11"/>
  <c r="L105" i="11" s="1"/>
  <c r="L107" i="11" s="1"/>
  <c r="F125" i="11" s="1"/>
  <c r="L79" i="11"/>
  <c r="L80" i="11" s="1"/>
  <c r="L115" i="11"/>
  <c r="F123" i="11"/>
  <c r="L110" i="11"/>
  <c r="D1" i="7"/>
  <c r="L1" i="7"/>
  <c r="B2" i="7"/>
  <c r="C2" i="7"/>
  <c r="D2" i="7"/>
  <c r="E2" i="7"/>
  <c r="F55" i="7"/>
  <c r="G2" i="7"/>
  <c r="H2" i="7"/>
  <c r="I2" i="7"/>
  <c r="J2" i="7"/>
  <c r="K2" i="7"/>
  <c r="B3" i="7"/>
  <c r="B5" i="7" s="1"/>
  <c r="C3" i="7"/>
  <c r="D3" i="7"/>
  <c r="E3" i="7"/>
  <c r="F3" i="7"/>
  <c r="G3" i="7"/>
  <c r="H3" i="7"/>
  <c r="I3" i="7"/>
  <c r="I5" i="7" s="1"/>
  <c r="J3" i="7"/>
  <c r="K3" i="7"/>
  <c r="N66" i="7"/>
  <c r="L8" i="7" s="1"/>
  <c r="C4" i="7"/>
  <c r="D4" i="7"/>
  <c r="E4" i="7"/>
  <c r="F4" i="7"/>
  <c r="G4" i="7"/>
  <c r="H4" i="7"/>
  <c r="I4" i="7"/>
  <c r="J4" i="7"/>
  <c r="K4" i="7"/>
  <c r="B13" i="7"/>
  <c r="K13" i="7"/>
  <c r="D13" i="7"/>
  <c r="P5" i="7" s="1"/>
  <c r="F13" i="7"/>
  <c r="Q5" i="7" s="1"/>
  <c r="H13" i="7"/>
  <c r="B6" i="7"/>
  <c r="C6" i="7"/>
  <c r="D6" i="7"/>
  <c r="E6" i="7"/>
  <c r="F6" i="7"/>
  <c r="G6" i="7"/>
  <c r="H6" i="7"/>
  <c r="I6" i="7"/>
  <c r="J6" i="7"/>
  <c r="K6" i="7"/>
  <c r="B45" i="7"/>
  <c r="C45" i="7"/>
  <c r="C13" i="7"/>
  <c r="D45" i="7"/>
  <c r="E45" i="7"/>
  <c r="E13" i="7"/>
  <c r="F45" i="7"/>
  <c r="G45" i="7"/>
  <c r="G13" i="7"/>
  <c r="H45" i="7"/>
  <c r="I45" i="7"/>
  <c r="I13" i="7"/>
  <c r="J45" i="7"/>
  <c r="J13" i="7"/>
  <c r="K45" i="7"/>
  <c r="O15" i="7"/>
  <c r="B8" i="7"/>
  <c r="B87" i="7" s="1"/>
  <c r="C15" i="16" s="1"/>
  <c r="C8" i="7"/>
  <c r="C87" i="7" s="1"/>
  <c r="D15" i="16" s="1"/>
  <c r="D8" i="7"/>
  <c r="E8" i="7"/>
  <c r="E87" i="7" s="1"/>
  <c r="F15" i="16" s="1"/>
  <c r="F8" i="7"/>
  <c r="G8" i="7"/>
  <c r="H8" i="7"/>
  <c r="H87" i="7" s="1"/>
  <c r="I15" i="16" s="1"/>
  <c r="I8" i="7"/>
  <c r="I87" i="7" s="1"/>
  <c r="J15" i="16" s="1"/>
  <c r="J8" i="7"/>
  <c r="J87" i="7" s="1"/>
  <c r="K15" i="16" s="1"/>
  <c r="K8" i="7"/>
  <c r="K87" i="7" s="1"/>
  <c r="B9" i="7"/>
  <c r="B113" i="7" s="1"/>
  <c r="C9" i="7"/>
  <c r="C113" i="7" s="1"/>
  <c r="D9" i="7"/>
  <c r="D113" i="7" s="1"/>
  <c r="E9" i="7"/>
  <c r="E113" i="7" s="1"/>
  <c r="F9" i="7"/>
  <c r="F113" i="7" s="1"/>
  <c r="G9" i="7"/>
  <c r="H9" i="7"/>
  <c r="H113" i="7" s="1"/>
  <c r="I9" i="7"/>
  <c r="I113" i="7" s="1"/>
  <c r="J9" i="7"/>
  <c r="J113" i="7" s="1"/>
  <c r="K9" i="7"/>
  <c r="K113" i="7" s="1"/>
  <c r="O9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E90" i="7" s="1"/>
  <c r="F11" i="7"/>
  <c r="F90" i="7" s="1"/>
  <c r="G11" i="7"/>
  <c r="G90" i="7" s="1"/>
  <c r="H11" i="7"/>
  <c r="H90" i="7" s="1"/>
  <c r="I11" i="7"/>
  <c r="I90" i="7" s="1"/>
  <c r="J11" i="7"/>
  <c r="J90" i="7" s="1"/>
  <c r="K11" i="7"/>
  <c r="K90" i="7" s="1"/>
  <c r="O12" i="7"/>
  <c r="O14" i="7"/>
  <c r="B15" i="7"/>
  <c r="C15" i="7"/>
  <c r="C17" i="7" s="1"/>
  <c r="D15" i="7"/>
  <c r="E15" i="7"/>
  <c r="F15" i="7"/>
  <c r="G15" i="7"/>
  <c r="H15" i="7"/>
  <c r="I15" i="7"/>
  <c r="J15" i="7"/>
  <c r="K15" i="7"/>
  <c r="C16" i="7"/>
  <c r="D16" i="7"/>
  <c r="E16" i="7"/>
  <c r="F16" i="7"/>
  <c r="F112" i="7" s="1"/>
  <c r="G22" i="16" s="1"/>
  <c r="G16" i="7"/>
  <c r="H16" i="7"/>
  <c r="H112" i="7" s="1"/>
  <c r="I22" i="16" s="1"/>
  <c r="I16" i="7"/>
  <c r="J16" i="7"/>
  <c r="J112" i="7" s="1"/>
  <c r="K22" i="16" s="1"/>
  <c r="K16" i="7"/>
  <c r="B43" i="7"/>
  <c r="C43" i="7"/>
  <c r="D43" i="7"/>
  <c r="E43" i="7"/>
  <c r="F43" i="7"/>
  <c r="G43" i="7"/>
  <c r="H43" i="7"/>
  <c r="I43" i="7"/>
  <c r="J43" i="7"/>
  <c r="K43" i="7"/>
  <c r="B18" i="7"/>
  <c r="C18" i="7"/>
  <c r="D18" i="7"/>
  <c r="E18" i="7"/>
  <c r="F18" i="7"/>
  <c r="F22" i="7" s="1"/>
  <c r="G18" i="7"/>
  <c r="G22" i="7" s="1"/>
  <c r="H18" i="7"/>
  <c r="H22" i="7" s="1"/>
  <c r="I18" i="7"/>
  <c r="I22" i="7" s="1"/>
  <c r="J18" i="7"/>
  <c r="J22" i="7" s="1"/>
  <c r="K18" i="7"/>
  <c r="L45" i="7"/>
  <c r="B19" i="7"/>
  <c r="C19" i="7"/>
  <c r="D19" i="7"/>
  <c r="E19" i="7"/>
  <c r="F19" i="7"/>
  <c r="G19" i="7"/>
  <c r="H19" i="7"/>
  <c r="I19" i="7"/>
  <c r="J19" i="7"/>
  <c r="K19" i="7"/>
  <c r="B41" i="7"/>
  <c r="C41" i="7"/>
  <c r="D41" i="7"/>
  <c r="E41" i="7"/>
  <c r="F41" i="7"/>
  <c r="G41" i="7"/>
  <c r="H41" i="7"/>
  <c r="I41" i="7"/>
  <c r="J41" i="7"/>
  <c r="K41" i="7"/>
  <c r="B20" i="7"/>
  <c r="C20" i="7"/>
  <c r="D20" i="7"/>
  <c r="E20" i="7"/>
  <c r="F20" i="7"/>
  <c r="G20" i="7"/>
  <c r="H20" i="7"/>
  <c r="I20" i="7"/>
  <c r="J20" i="7"/>
  <c r="K20" i="7"/>
  <c r="B21" i="7"/>
  <c r="C21" i="7"/>
  <c r="D21" i="7"/>
  <c r="E21" i="7"/>
  <c r="F21" i="7"/>
  <c r="G21" i="7"/>
  <c r="H21" i="7"/>
  <c r="I21" i="7"/>
  <c r="J21" i="7"/>
  <c r="K21" i="7"/>
  <c r="M21" i="7" s="1"/>
  <c r="C33" i="7"/>
  <c r="D33" i="7"/>
  <c r="E33" i="7"/>
  <c r="C42" i="7"/>
  <c r="D42" i="7"/>
  <c r="E42" i="7"/>
  <c r="C38" i="7"/>
  <c r="C111" i="7" s="1"/>
  <c r="D38" i="7"/>
  <c r="D111" i="7" s="1"/>
  <c r="E38" i="7"/>
  <c r="F33" i="7"/>
  <c r="F42" i="7"/>
  <c r="F38" i="7"/>
  <c r="F111" i="7" s="1"/>
  <c r="G33" i="7"/>
  <c r="G42" i="7"/>
  <c r="G38" i="7"/>
  <c r="G111" i="7" s="1"/>
  <c r="H33" i="7"/>
  <c r="H42" i="7"/>
  <c r="H38" i="7"/>
  <c r="I33" i="7"/>
  <c r="I42" i="7"/>
  <c r="I38" i="7"/>
  <c r="J33" i="7"/>
  <c r="J42" i="7"/>
  <c r="J38" i="7"/>
  <c r="J111" i="7" s="1"/>
  <c r="K33" i="7"/>
  <c r="K42" i="7"/>
  <c r="K38" i="7"/>
  <c r="K111" i="7" s="1"/>
  <c r="B48" i="7"/>
  <c r="C48" i="7"/>
  <c r="C52" i="7" s="1"/>
  <c r="D48" i="7"/>
  <c r="P48" i="7" s="1"/>
  <c r="E48" i="7"/>
  <c r="F48" i="7"/>
  <c r="G48" i="7"/>
  <c r="H48" i="7"/>
  <c r="I48" i="7"/>
  <c r="J48" i="7"/>
  <c r="K48" i="7"/>
  <c r="Q28" i="16" s="1"/>
  <c r="B25" i="7"/>
  <c r="L25" i="7" s="1"/>
  <c r="C25" i="7"/>
  <c r="D25" i="7"/>
  <c r="E25" i="7"/>
  <c r="F25" i="7"/>
  <c r="G25" i="7"/>
  <c r="H25" i="7"/>
  <c r="I25" i="7"/>
  <c r="J25" i="7"/>
  <c r="K25" i="7"/>
  <c r="B26" i="7"/>
  <c r="C26" i="7"/>
  <c r="D26" i="7"/>
  <c r="E26" i="7"/>
  <c r="F26" i="7"/>
  <c r="G26" i="7"/>
  <c r="H26" i="7"/>
  <c r="I26" i="7"/>
  <c r="J26" i="7"/>
  <c r="K26" i="7"/>
  <c r="B38" i="7"/>
  <c r="B49" i="7"/>
  <c r="C49" i="7"/>
  <c r="D49" i="7"/>
  <c r="E49" i="7"/>
  <c r="F49" i="7"/>
  <c r="G49" i="7"/>
  <c r="H49" i="7"/>
  <c r="I49" i="7"/>
  <c r="I50" i="7" s="1"/>
  <c r="J49" i="7"/>
  <c r="K49" i="7"/>
  <c r="C34" i="7"/>
  <c r="D34" i="7"/>
  <c r="E34" i="7"/>
  <c r="F34" i="7"/>
  <c r="G34" i="7"/>
  <c r="H34" i="7"/>
  <c r="I34" i="7"/>
  <c r="J34" i="7"/>
  <c r="K34" i="7"/>
  <c r="C35" i="7"/>
  <c r="D35" i="7"/>
  <c r="E35" i="7"/>
  <c r="F35" i="7"/>
  <c r="G35" i="7"/>
  <c r="H35" i="7"/>
  <c r="I35" i="7"/>
  <c r="J35" i="7"/>
  <c r="K35" i="7"/>
  <c r="B39" i="7"/>
  <c r="C39" i="7"/>
  <c r="D39" i="7"/>
  <c r="E39" i="7"/>
  <c r="F39" i="7"/>
  <c r="G39" i="7"/>
  <c r="H39" i="7"/>
  <c r="I39" i="7"/>
  <c r="J39" i="7"/>
  <c r="K39" i="7"/>
  <c r="B42" i="7"/>
  <c r="B46" i="7"/>
  <c r="C46" i="7"/>
  <c r="D46" i="7"/>
  <c r="E46" i="7"/>
  <c r="F46" i="7"/>
  <c r="G46" i="7"/>
  <c r="H46" i="7"/>
  <c r="I46" i="7"/>
  <c r="J46" i="7"/>
  <c r="K46" i="7"/>
  <c r="L46" i="7" s="1"/>
  <c r="M55" i="7"/>
  <c r="B56" i="7"/>
  <c r="C56" i="7"/>
  <c r="D56" i="7"/>
  <c r="E56" i="7"/>
  <c r="F56" i="7"/>
  <c r="G56" i="7"/>
  <c r="H56" i="7"/>
  <c r="I56" i="7"/>
  <c r="J56" i="7"/>
  <c r="K56" i="7"/>
  <c r="B57" i="7"/>
  <c r="C57" i="7"/>
  <c r="D57" i="7"/>
  <c r="E57" i="7"/>
  <c r="F57" i="7"/>
  <c r="G57" i="7"/>
  <c r="H57" i="7"/>
  <c r="I57" i="7"/>
  <c r="J57" i="7"/>
  <c r="K57" i="7"/>
  <c r="B58" i="7"/>
  <c r="C58" i="7"/>
  <c r="D58" i="7"/>
  <c r="E58" i="7"/>
  <c r="F58" i="7"/>
  <c r="G58" i="7"/>
  <c r="H58" i="7"/>
  <c r="I58" i="7"/>
  <c r="J58" i="7"/>
  <c r="K58" i="7"/>
  <c r="B59" i="7"/>
  <c r="C59" i="7"/>
  <c r="D59" i="7"/>
  <c r="E59" i="7"/>
  <c r="F59" i="7"/>
  <c r="G59" i="7"/>
  <c r="H59" i="7"/>
  <c r="I59" i="7"/>
  <c r="J59" i="7"/>
  <c r="K59" i="7"/>
  <c r="B60" i="7"/>
  <c r="C60" i="7"/>
  <c r="D60" i="7"/>
  <c r="E60" i="7"/>
  <c r="F60" i="7"/>
  <c r="G60" i="7"/>
  <c r="H60" i="7"/>
  <c r="I60" i="7"/>
  <c r="J60" i="7"/>
  <c r="K60" i="7"/>
  <c r="B68" i="7"/>
  <c r="C68" i="7"/>
  <c r="D68" i="7"/>
  <c r="E68" i="7"/>
  <c r="F68" i="7"/>
  <c r="G68" i="7"/>
  <c r="H68" i="7"/>
  <c r="I68" i="7"/>
  <c r="J68" i="7"/>
  <c r="K68" i="7"/>
  <c r="B69" i="7"/>
  <c r="C69" i="7"/>
  <c r="D69" i="7"/>
  <c r="E69" i="7"/>
  <c r="F69" i="7"/>
  <c r="G69" i="7"/>
  <c r="H69" i="7"/>
  <c r="I69" i="7"/>
  <c r="J69" i="7"/>
  <c r="K69" i="7"/>
  <c r="B70" i="7"/>
  <c r="C70" i="7"/>
  <c r="D70" i="7"/>
  <c r="E70" i="7"/>
  <c r="F70" i="7"/>
  <c r="G70" i="7"/>
  <c r="H70" i="7"/>
  <c r="I70" i="7"/>
  <c r="J70" i="7"/>
  <c r="K70" i="7"/>
  <c r="B71" i="7"/>
  <c r="C71" i="7"/>
  <c r="D71" i="7"/>
  <c r="E71" i="7"/>
  <c r="F71" i="7"/>
  <c r="G71" i="7"/>
  <c r="H71" i="7"/>
  <c r="I71" i="7"/>
  <c r="J71" i="7"/>
  <c r="K71" i="7"/>
  <c r="B72" i="7"/>
  <c r="C72" i="7"/>
  <c r="D72" i="7"/>
  <c r="E72" i="7"/>
  <c r="F72" i="7"/>
  <c r="G72" i="7"/>
  <c r="H72" i="7"/>
  <c r="I72" i="7"/>
  <c r="J72" i="7"/>
  <c r="K72" i="7"/>
  <c r="B73" i="7"/>
  <c r="C73" i="7"/>
  <c r="D73" i="7"/>
  <c r="E73" i="7"/>
  <c r="F73" i="7"/>
  <c r="G73" i="7"/>
  <c r="H73" i="7"/>
  <c r="I73" i="7"/>
  <c r="J73" i="7"/>
  <c r="K73" i="7"/>
  <c r="B6" i="6"/>
  <c r="E1" i="6"/>
  <c r="G14" i="7" l="1"/>
  <c r="M13" i="7"/>
  <c r="E22" i="7"/>
  <c r="G113" i="7"/>
  <c r="M9" i="7"/>
  <c r="M6" i="7"/>
  <c r="E131" i="7"/>
  <c r="K22" i="7"/>
  <c r="M20" i="7"/>
  <c r="F39" i="16"/>
  <c r="M16" i="7"/>
  <c r="L15" i="16"/>
  <c r="P125" i="7"/>
  <c r="P127" i="7" s="1"/>
  <c r="D16" i="15" s="1"/>
  <c r="O3" i="7"/>
  <c r="G87" i="7"/>
  <c r="H15" i="16" s="1"/>
  <c r="M8" i="7"/>
  <c r="D22" i="7"/>
  <c r="C22" i="7"/>
  <c r="B22" i="7"/>
  <c r="M15" i="7"/>
  <c r="M114" i="11"/>
  <c r="G124" i="11" s="1"/>
  <c r="L81" i="11"/>
  <c r="L84" i="11" s="1"/>
  <c r="M86" i="11"/>
  <c r="M89" i="11"/>
  <c r="M92" i="11"/>
  <c r="M82" i="11"/>
  <c r="M79" i="11"/>
  <c r="M80" i="11" s="1"/>
  <c r="M109" i="11"/>
  <c r="L109" i="11"/>
  <c r="L111" i="11" s="1"/>
  <c r="F126" i="11" s="1"/>
  <c r="N109" i="11"/>
  <c r="M105" i="11"/>
  <c r="M107" i="11" s="1"/>
  <c r="G125" i="11" s="1"/>
  <c r="K14" i="7"/>
  <c r="K52" i="7"/>
  <c r="K53" i="7" s="1"/>
  <c r="E44" i="7"/>
  <c r="K5" i="7"/>
  <c r="P41" i="7"/>
  <c r="P3" i="7"/>
  <c r="H31" i="7"/>
  <c r="C5" i="7"/>
  <c r="G44" i="7"/>
  <c r="E12" i="7"/>
  <c r="J44" i="7"/>
  <c r="D5" i="7"/>
  <c r="I7" i="7"/>
  <c r="S48" i="7"/>
  <c r="G7" i="7"/>
  <c r="E5" i="7"/>
  <c r="D66" i="7"/>
  <c r="L4" i="7"/>
  <c r="J114" i="7"/>
  <c r="J5" i="7"/>
  <c r="G28" i="7"/>
  <c r="K44" i="7"/>
  <c r="E50" i="7"/>
  <c r="H66" i="7"/>
  <c r="H111" i="7"/>
  <c r="H114" i="7" s="1"/>
  <c r="L73" i="7"/>
  <c r="E93" i="7"/>
  <c r="E112" i="7"/>
  <c r="F22" i="16" s="1"/>
  <c r="I14" i="7"/>
  <c r="K7" i="7"/>
  <c r="G50" i="7"/>
  <c r="O48" i="7"/>
  <c r="D93" i="7"/>
  <c r="D112" i="7"/>
  <c r="E22" i="16" s="1"/>
  <c r="L68" i="7"/>
  <c r="C93" i="7"/>
  <c r="C112" i="7"/>
  <c r="D22" i="16" s="1"/>
  <c r="I12" i="7"/>
  <c r="K93" i="7"/>
  <c r="D5" i="15" s="1"/>
  <c r="K112" i="7"/>
  <c r="L22" i="16" s="1"/>
  <c r="F114" i="7"/>
  <c r="B66" i="7"/>
  <c r="B111" i="7"/>
  <c r="B114" i="7" s="1"/>
  <c r="E30" i="7"/>
  <c r="L69" i="7"/>
  <c r="J12" i="7"/>
  <c r="L70" i="7"/>
  <c r="J66" i="7"/>
  <c r="K12" i="7"/>
  <c r="L71" i="7"/>
  <c r="I66" i="7"/>
  <c r="I111" i="7"/>
  <c r="E28" i="7"/>
  <c r="E111" i="7"/>
  <c r="I93" i="7"/>
  <c r="I112" i="7"/>
  <c r="J22" i="16" s="1"/>
  <c r="E36" i="7"/>
  <c r="O49" i="7"/>
  <c r="L72" i="7"/>
  <c r="G93" i="7"/>
  <c r="G112" i="7"/>
  <c r="H22" i="16" s="1"/>
  <c r="K55" i="7"/>
  <c r="K76" i="7"/>
  <c r="J55" i="7"/>
  <c r="J76" i="7"/>
  <c r="I55" i="7"/>
  <c r="I76" i="7"/>
  <c r="H55" i="7"/>
  <c r="H76" i="7"/>
  <c r="G55" i="7"/>
  <c r="G76" i="7"/>
  <c r="F17" i="7"/>
  <c r="F93" i="7"/>
  <c r="E55" i="7"/>
  <c r="E76" i="7"/>
  <c r="D55" i="7"/>
  <c r="D76" i="7"/>
  <c r="J17" i="7"/>
  <c r="J93" i="7"/>
  <c r="G5" i="7"/>
  <c r="C55" i="7"/>
  <c r="C76" i="7"/>
  <c r="B55" i="7"/>
  <c r="B76" i="7"/>
  <c r="H17" i="7"/>
  <c r="H93" i="7"/>
  <c r="R5" i="7"/>
  <c r="C7" i="7"/>
  <c r="C53" i="7"/>
  <c r="K66" i="7"/>
  <c r="F44" i="7"/>
  <c r="E52" i="7"/>
  <c r="E53" i="7" s="1"/>
  <c r="L11" i="7"/>
  <c r="L9" i="7"/>
  <c r="I30" i="7"/>
  <c r="C50" i="7"/>
  <c r="L3" i="7"/>
  <c r="S3" i="7" s="1"/>
  <c r="F77" i="7"/>
  <c r="L6" i="7"/>
  <c r="L10" i="7"/>
  <c r="D44" i="7"/>
  <c r="E17" i="7"/>
  <c r="Q41" i="7"/>
  <c r="K28" i="7"/>
  <c r="I44" i="7"/>
  <c r="J7" i="7"/>
  <c r="H44" i="7"/>
  <c r="N17" i="7"/>
  <c r="B62" i="7" s="1"/>
  <c r="H52" i="7"/>
  <c r="H53" i="7" s="1"/>
  <c r="C36" i="7"/>
  <c r="D28" i="7"/>
  <c r="C66" i="7"/>
  <c r="F5" i="7"/>
  <c r="C28" i="7"/>
  <c r="D36" i="7"/>
  <c r="J29" i="7"/>
  <c r="D17" i="7"/>
  <c r="M58" i="7"/>
  <c r="K36" i="7"/>
  <c r="R49" i="7"/>
  <c r="M57" i="7"/>
  <c r="I36" i="7"/>
  <c r="F36" i="7"/>
  <c r="D50" i="7"/>
  <c r="K50" i="7"/>
  <c r="R41" i="7"/>
  <c r="H30" i="7"/>
  <c r="C30" i="7"/>
  <c r="H36" i="7"/>
  <c r="L26" i="7"/>
  <c r="J50" i="7"/>
  <c r="I17" i="7"/>
  <c r="G12" i="7"/>
  <c r="F66" i="7"/>
  <c r="D87" i="7"/>
  <c r="B50" i="7"/>
  <c r="J52" i="7"/>
  <c r="J53" i="7" s="1"/>
  <c r="H5" i="7"/>
  <c r="H77" i="7"/>
  <c r="G77" i="7"/>
  <c r="Q3" i="7"/>
  <c r="G52" i="7"/>
  <c r="G53" i="7" s="1"/>
  <c r="C44" i="7"/>
  <c r="M56" i="7"/>
  <c r="M19" i="7"/>
  <c r="G17" i="7"/>
  <c r="D12" i="7"/>
  <c r="D90" i="7"/>
  <c r="E14" i="7"/>
  <c r="E77" i="7"/>
  <c r="C12" i="7"/>
  <c r="C90" i="7"/>
  <c r="N18" i="7"/>
  <c r="B63" i="7" s="1"/>
  <c r="D77" i="7"/>
  <c r="E4" i="16" s="1"/>
  <c r="I29" i="7"/>
  <c r="D52" i="7"/>
  <c r="D53" i="7" s="1"/>
  <c r="I31" i="7"/>
  <c r="B12" i="7"/>
  <c r="B90" i="7"/>
  <c r="C77" i="7"/>
  <c r="Q49" i="7"/>
  <c r="B77" i="7"/>
  <c r="C4" i="16" s="1"/>
  <c r="K31" i="7"/>
  <c r="K29" i="7"/>
  <c r="I52" i="7"/>
  <c r="I53" i="7" s="1"/>
  <c r="K30" i="7"/>
  <c r="J30" i="7"/>
  <c r="G66" i="7"/>
  <c r="S41" i="7"/>
  <c r="F12" i="7"/>
  <c r="G30" i="7"/>
  <c r="J36" i="7"/>
  <c r="G36" i="7"/>
  <c r="P49" i="7"/>
  <c r="K17" i="7"/>
  <c r="I28" i="7"/>
  <c r="F30" i="7"/>
  <c r="F87" i="7"/>
  <c r="G31" i="7"/>
  <c r="H7" i="7"/>
  <c r="O5" i="7"/>
  <c r="K77" i="7"/>
  <c r="J77" i="7"/>
  <c r="M59" i="7"/>
  <c r="D30" i="7"/>
  <c r="I77" i="7"/>
  <c r="D14" i="7"/>
  <c r="L13" i="7"/>
  <c r="G29" i="7"/>
  <c r="M41" i="7"/>
  <c r="B44" i="7"/>
  <c r="S49" i="7"/>
  <c r="Q48" i="7"/>
  <c r="R48" i="7"/>
  <c r="E31" i="7"/>
  <c r="H12" i="7"/>
  <c r="H28" i="7"/>
  <c r="H14" i="7"/>
  <c r="F7" i="7"/>
  <c r="F14" i="7"/>
  <c r="H29" i="7"/>
  <c r="J31" i="7"/>
  <c r="O41" i="7"/>
  <c r="E29" i="7"/>
  <c r="F28" i="7"/>
  <c r="B14" i="7"/>
  <c r="E7" i="7"/>
  <c r="C14" i="7"/>
  <c r="H50" i="7"/>
  <c r="F52" i="7"/>
  <c r="F53" i="7" s="1"/>
  <c r="J14" i="7"/>
  <c r="D29" i="7"/>
  <c r="F31" i="7"/>
  <c r="C29" i="7"/>
  <c r="J28" i="7"/>
  <c r="D7" i="7"/>
  <c r="B7" i="7"/>
  <c r="F50" i="7"/>
  <c r="R3" i="7"/>
  <c r="E66" i="7"/>
  <c r="F29" i="7"/>
  <c r="R6" i="7" l="1"/>
  <c r="R4" i="7"/>
  <c r="M17" i="7"/>
  <c r="F88" i="7"/>
  <c r="G15" i="16"/>
  <c r="E8" i="16"/>
  <c r="E11" i="16" s="1"/>
  <c r="E14" i="16" s="1"/>
  <c r="E10" i="16"/>
  <c r="E7" i="16"/>
  <c r="E13" i="16"/>
  <c r="G108" i="7"/>
  <c r="H4" i="16"/>
  <c r="H16" i="16"/>
  <c r="C8" i="16"/>
  <c r="C11" i="16" s="1"/>
  <c r="C14" i="16" s="1"/>
  <c r="C17" i="16" s="1"/>
  <c r="C7" i="16"/>
  <c r="C13" i="16"/>
  <c r="C10" i="16"/>
  <c r="C108" i="7"/>
  <c r="D4" i="16"/>
  <c r="E5" i="16" s="1"/>
  <c r="J108" i="7"/>
  <c r="K4" i="16"/>
  <c r="D88" i="7"/>
  <c r="E15" i="16"/>
  <c r="E16" i="16" s="1"/>
  <c r="D11" i="15"/>
  <c r="E5" i="15"/>
  <c r="E23" i="15"/>
  <c r="M7" i="7"/>
  <c r="D91" i="7"/>
  <c r="K108" i="7"/>
  <c r="L4" i="16"/>
  <c r="L16" i="16" s="1"/>
  <c r="L77" i="7"/>
  <c r="F108" i="7"/>
  <c r="G4" i="16"/>
  <c r="D8" i="15"/>
  <c r="E16" i="15"/>
  <c r="H108" i="7"/>
  <c r="I4" i="16"/>
  <c r="I108" i="7"/>
  <c r="J4" i="16"/>
  <c r="E108" i="7"/>
  <c r="F4" i="16"/>
  <c r="C16" i="16"/>
  <c r="L88" i="11"/>
  <c r="L85" i="11"/>
  <c r="N111" i="11"/>
  <c r="H126" i="11" s="1"/>
  <c r="M81" i="11"/>
  <c r="M84" i="11" s="1"/>
  <c r="M111" i="11"/>
  <c r="G126" i="11" s="1"/>
  <c r="N114" i="11"/>
  <c r="H124" i="11" s="1"/>
  <c r="N89" i="11"/>
  <c r="N86" i="11"/>
  <c r="N82" i="11"/>
  <c r="N92" i="11"/>
  <c r="N79" i="11"/>
  <c r="N80" i="11" s="1"/>
  <c r="N105" i="11"/>
  <c r="N107" i="11" s="1"/>
  <c r="H125" i="11" s="1"/>
  <c r="M115" i="11"/>
  <c r="G123" i="11"/>
  <c r="I91" i="7"/>
  <c r="Q6" i="7"/>
  <c r="B104" i="7"/>
  <c r="B108" i="7"/>
  <c r="D104" i="7"/>
  <c r="D108" i="7"/>
  <c r="I115" i="7"/>
  <c r="J91" i="7"/>
  <c r="J104" i="7"/>
  <c r="C88" i="7"/>
  <c r="C104" i="7"/>
  <c r="H88" i="7"/>
  <c r="H104" i="7"/>
  <c r="K85" i="7"/>
  <c r="K104" i="7"/>
  <c r="Q4" i="7"/>
  <c r="J115" i="7"/>
  <c r="J88" i="7"/>
  <c r="F91" i="7"/>
  <c r="F104" i="7"/>
  <c r="F115" i="7"/>
  <c r="I88" i="7"/>
  <c r="I104" i="7"/>
  <c r="E91" i="7"/>
  <c r="E104" i="7"/>
  <c r="G91" i="7"/>
  <c r="G104" i="7"/>
  <c r="B115" i="7"/>
  <c r="D114" i="7"/>
  <c r="D115" i="7"/>
  <c r="B91" i="7"/>
  <c r="K114" i="7"/>
  <c r="K115" i="7"/>
  <c r="K91" i="7"/>
  <c r="H91" i="7"/>
  <c r="E115" i="7"/>
  <c r="K88" i="7"/>
  <c r="E88" i="7"/>
  <c r="G114" i="7"/>
  <c r="G115" i="7"/>
  <c r="C114" i="7"/>
  <c r="C115" i="7"/>
  <c r="H115" i="7"/>
  <c r="C91" i="7"/>
  <c r="B88" i="7"/>
  <c r="G88" i="7"/>
  <c r="D82" i="7"/>
  <c r="D85" i="7"/>
  <c r="F82" i="7"/>
  <c r="F85" i="7"/>
  <c r="G82" i="7"/>
  <c r="G85" i="7"/>
  <c r="J82" i="7"/>
  <c r="J85" i="7"/>
  <c r="C82" i="7"/>
  <c r="C85" i="7"/>
  <c r="H82" i="7"/>
  <c r="H85" i="7"/>
  <c r="I82" i="7"/>
  <c r="I85" i="7"/>
  <c r="B82" i="7"/>
  <c r="B85" i="7"/>
  <c r="E82" i="7"/>
  <c r="E85" i="7"/>
  <c r="L12" i="7"/>
  <c r="O6" i="7"/>
  <c r="K79" i="7"/>
  <c r="K82" i="7"/>
  <c r="M18" i="7"/>
  <c r="I114" i="7"/>
  <c r="P6" i="7"/>
  <c r="L7" i="7"/>
  <c r="D80" i="7"/>
  <c r="D83" i="7" s="1"/>
  <c r="D86" i="7" s="1"/>
  <c r="D89" i="7" s="1"/>
  <c r="D92" i="7" s="1"/>
  <c r="D79" i="7"/>
  <c r="F80" i="7"/>
  <c r="F83" i="7" s="1"/>
  <c r="F86" i="7" s="1"/>
  <c r="F89" i="7" s="1"/>
  <c r="F79" i="7"/>
  <c r="B80" i="7"/>
  <c r="B83" i="7" s="1"/>
  <c r="B86" i="7" s="1"/>
  <c r="B89" i="7" s="1"/>
  <c r="B79" i="7"/>
  <c r="E80" i="7"/>
  <c r="E83" i="7" s="1"/>
  <c r="E86" i="7" s="1"/>
  <c r="E89" i="7" s="1"/>
  <c r="E92" i="7" s="1"/>
  <c r="E79" i="7"/>
  <c r="J80" i="7"/>
  <c r="J83" i="7" s="1"/>
  <c r="J86" i="7" s="1"/>
  <c r="J89" i="7" s="1"/>
  <c r="J92" i="7" s="1"/>
  <c r="J79" i="7"/>
  <c r="C80" i="7"/>
  <c r="C83" i="7" s="1"/>
  <c r="C86" i="7" s="1"/>
  <c r="C89" i="7" s="1"/>
  <c r="C92" i="7" s="1"/>
  <c r="C79" i="7"/>
  <c r="H80" i="7"/>
  <c r="H83" i="7" s="1"/>
  <c r="H86" i="7" s="1"/>
  <c r="H89" i="7" s="1"/>
  <c r="H92" i="7" s="1"/>
  <c r="H79" i="7"/>
  <c r="I80" i="7"/>
  <c r="I83" i="7" s="1"/>
  <c r="I86" i="7" s="1"/>
  <c r="I89" i="7" s="1"/>
  <c r="I92" i="7" s="1"/>
  <c r="I79" i="7"/>
  <c r="G80" i="7"/>
  <c r="G83" i="7" s="1"/>
  <c r="G86" i="7" s="1"/>
  <c r="G89" i="7" s="1"/>
  <c r="G92" i="7" s="1"/>
  <c r="G79" i="7"/>
  <c r="K23" i="7"/>
  <c r="H23" i="7"/>
  <c r="K80" i="7"/>
  <c r="K83" i="7" s="1"/>
  <c r="K86" i="7" s="1"/>
  <c r="K89" i="7" s="1"/>
  <c r="K92" i="7" s="1"/>
  <c r="E114" i="7"/>
  <c r="L5" i="7"/>
  <c r="S4" i="7" s="1"/>
  <c r="O4" i="7"/>
  <c r="N19" i="7"/>
  <c r="B64" i="7" s="1"/>
  <c r="P4" i="7"/>
  <c r="F23" i="7"/>
  <c r="E23" i="7"/>
  <c r="M52" i="7"/>
  <c r="M23" i="7" s="1"/>
  <c r="J23" i="7"/>
  <c r="I23" i="7"/>
  <c r="O10" i="7"/>
  <c r="S5" i="7"/>
  <c r="L14" i="7"/>
  <c r="G23" i="7"/>
  <c r="G16" i="16" l="1"/>
  <c r="J5" i="16"/>
  <c r="J8" i="16"/>
  <c r="J11" i="16" s="1"/>
  <c r="J14" i="16" s="1"/>
  <c r="J17" i="16" s="1"/>
  <c r="J13" i="16"/>
  <c r="J10" i="16"/>
  <c r="J7" i="16"/>
  <c r="J16" i="16"/>
  <c r="C18" i="16"/>
  <c r="C19" i="16" s="1"/>
  <c r="C20" i="16"/>
  <c r="I8" i="16"/>
  <c r="I11" i="16" s="1"/>
  <c r="I14" i="16" s="1"/>
  <c r="I17" i="16" s="1"/>
  <c r="I5" i="16"/>
  <c r="I10" i="16"/>
  <c r="I7" i="16"/>
  <c r="I13" i="16"/>
  <c r="I16" i="16"/>
  <c r="G8" i="16"/>
  <c r="G11" i="16" s="1"/>
  <c r="G14" i="16" s="1"/>
  <c r="G17" i="16" s="1"/>
  <c r="G5" i="16"/>
  <c r="G13" i="16"/>
  <c r="G10" i="16"/>
  <c r="G7" i="16"/>
  <c r="K16" i="16"/>
  <c r="K8" i="16"/>
  <c r="K11" i="16" s="1"/>
  <c r="K14" i="16" s="1"/>
  <c r="K17" i="16" s="1"/>
  <c r="K5" i="16"/>
  <c r="K7" i="16"/>
  <c r="K13" i="16"/>
  <c r="K10" i="16"/>
  <c r="D5" i="16"/>
  <c r="D8" i="16"/>
  <c r="D11" i="16" s="1"/>
  <c r="D14" i="16" s="1"/>
  <c r="D17" i="16" s="1"/>
  <c r="D13" i="16"/>
  <c r="D7" i="16"/>
  <c r="D10" i="16"/>
  <c r="D16" i="16"/>
  <c r="E17" i="16"/>
  <c r="E24" i="15"/>
  <c r="G23" i="15"/>
  <c r="L8" i="16"/>
  <c r="L11" i="16" s="1"/>
  <c r="L14" i="16" s="1"/>
  <c r="L17" i="16" s="1"/>
  <c r="L5" i="16"/>
  <c r="M4" i="16"/>
  <c r="N4" i="16" s="1"/>
  <c r="L13" i="16"/>
  <c r="L10" i="16"/>
  <c r="L7" i="16"/>
  <c r="H8" i="16"/>
  <c r="H11" i="16" s="1"/>
  <c r="H14" i="16" s="1"/>
  <c r="H17" i="16" s="1"/>
  <c r="H5" i="16"/>
  <c r="H7" i="16"/>
  <c r="H13" i="16"/>
  <c r="H10" i="16"/>
  <c r="F5" i="16"/>
  <c r="F8" i="16"/>
  <c r="F11" i="16" s="1"/>
  <c r="F14" i="16" s="1"/>
  <c r="F17" i="16" s="1"/>
  <c r="F10" i="16"/>
  <c r="F7" i="16"/>
  <c r="F13" i="16"/>
  <c r="F16" i="16"/>
  <c r="M88" i="11"/>
  <c r="M91" i="11" s="1"/>
  <c r="M94" i="11" s="1"/>
  <c r="M85" i="11"/>
  <c r="L91" i="11"/>
  <c r="L94" i="11" s="1"/>
  <c r="F121" i="11"/>
  <c r="F122" i="11" s="1"/>
  <c r="F127" i="11" s="1"/>
  <c r="F129" i="11" s="1"/>
  <c r="N81" i="11"/>
  <c r="N84" i="11" s="1"/>
  <c r="O79" i="11"/>
  <c r="O80" i="11" s="1"/>
  <c r="O89" i="11"/>
  <c r="O92" i="11"/>
  <c r="O86" i="11"/>
  <c r="O82" i="11"/>
  <c r="O81" i="11"/>
  <c r="O105" i="11"/>
  <c r="O107" i="11" s="1"/>
  <c r="I125" i="11" s="1"/>
  <c r="O114" i="11"/>
  <c r="I124" i="11" s="1"/>
  <c r="O109" i="11"/>
  <c r="O111" i="11" s="1"/>
  <c r="I126" i="11" s="1"/>
  <c r="H123" i="11"/>
  <c r="N115" i="11"/>
  <c r="L108" i="7"/>
  <c r="L104" i="7"/>
  <c r="L103" i="7" s="1"/>
  <c r="L105" i="7" s="1"/>
  <c r="R88" i="7"/>
  <c r="L87" i="7" s="1"/>
  <c r="M15" i="16" s="1"/>
  <c r="M22" i="7"/>
  <c r="R91" i="7"/>
  <c r="L90" i="7" s="1"/>
  <c r="R115" i="7"/>
  <c r="R85" i="7"/>
  <c r="L84" i="7" s="1"/>
  <c r="M12" i="16" s="1"/>
  <c r="G29" i="16" s="1"/>
  <c r="F92" i="7"/>
  <c r="B92" i="7"/>
  <c r="M77" i="7"/>
  <c r="R79" i="7"/>
  <c r="L78" i="7" s="1"/>
  <c r="M6" i="16" s="1"/>
  <c r="O13" i="7"/>
  <c r="S6" i="7"/>
  <c r="L18" i="16" l="1"/>
  <c r="L19" i="16" s="1"/>
  <c r="F123" i="7"/>
  <c r="G31" i="16"/>
  <c r="I18" i="16"/>
  <c r="I19" i="16" s="1"/>
  <c r="C23" i="16"/>
  <c r="C21" i="16"/>
  <c r="K18" i="16"/>
  <c r="K19" i="16" s="1"/>
  <c r="H18" i="16"/>
  <c r="H19" i="16" s="1"/>
  <c r="E25" i="15"/>
  <c r="E26" i="15" s="1"/>
  <c r="E27" i="15" s="1"/>
  <c r="F27" i="15" s="1"/>
  <c r="H27" i="15" s="1"/>
  <c r="G24" i="15"/>
  <c r="E18" i="16"/>
  <c r="E19" i="16" s="1"/>
  <c r="E20" i="16"/>
  <c r="D18" i="16"/>
  <c r="D19" i="16" s="1"/>
  <c r="D20" i="16"/>
  <c r="G18" i="16"/>
  <c r="G19" i="16" s="1"/>
  <c r="G20" i="16"/>
  <c r="F18" i="16"/>
  <c r="F19" i="16" s="1"/>
  <c r="O4" i="16"/>
  <c r="J18" i="16"/>
  <c r="J19" i="16" s="1"/>
  <c r="N88" i="11"/>
  <c r="N85" i="11"/>
  <c r="G121" i="11"/>
  <c r="G122" i="11" s="1"/>
  <c r="G127" i="11" s="1"/>
  <c r="G129" i="11" s="1"/>
  <c r="O84" i="11"/>
  <c r="P92" i="11"/>
  <c r="P86" i="11"/>
  <c r="J123" i="11" s="1"/>
  <c r="P89" i="11"/>
  <c r="P82" i="11"/>
  <c r="P79" i="11"/>
  <c r="P80" i="11" s="1"/>
  <c r="P105" i="11"/>
  <c r="P107" i="11" s="1"/>
  <c r="J125" i="11" s="1"/>
  <c r="P114" i="11"/>
  <c r="J124" i="11" s="1"/>
  <c r="P109" i="11"/>
  <c r="P111" i="11" s="1"/>
  <c r="J126" i="11" s="1"/>
  <c r="I123" i="11"/>
  <c r="O115" i="11"/>
  <c r="H121" i="11"/>
  <c r="H122" i="11" s="1"/>
  <c r="H127" i="11" s="1"/>
  <c r="H129" i="11" s="1"/>
  <c r="N91" i="11"/>
  <c r="N94" i="11" s="1"/>
  <c r="M103" i="7"/>
  <c r="M105" i="7"/>
  <c r="M107" i="7"/>
  <c r="L107" i="7"/>
  <c r="L109" i="7" s="1"/>
  <c r="M84" i="7"/>
  <c r="N12" i="16" s="1"/>
  <c r="M87" i="7"/>
  <c r="N15" i="16" s="1"/>
  <c r="N16" i="16" s="1"/>
  <c r="M90" i="7"/>
  <c r="L113" i="7"/>
  <c r="F121" i="7"/>
  <c r="M112" i="7"/>
  <c r="L112" i="7"/>
  <c r="L79" i="7"/>
  <c r="L80" i="7"/>
  <c r="N77" i="7"/>
  <c r="N103" i="7" s="1"/>
  <c r="N105" i="7" s="1"/>
  <c r="M78" i="7"/>
  <c r="F20" i="16" l="1"/>
  <c r="F21" i="16" s="1"/>
  <c r="I20" i="16"/>
  <c r="I23" i="16" s="1"/>
  <c r="K20" i="16"/>
  <c r="F124" i="7"/>
  <c r="G32" i="16"/>
  <c r="F23" i="16"/>
  <c r="G123" i="7"/>
  <c r="H31" i="16"/>
  <c r="G23" i="16"/>
  <c r="G21" i="16"/>
  <c r="D23" i="16"/>
  <c r="D21" i="16"/>
  <c r="I21" i="16"/>
  <c r="G122" i="7"/>
  <c r="N22" i="16"/>
  <c r="H30" i="16" s="1"/>
  <c r="E23" i="16"/>
  <c r="E21" i="16"/>
  <c r="H29" i="16"/>
  <c r="N13" i="16"/>
  <c r="P4" i="16"/>
  <c r="K21" i="16"/>
  <c r="K23" i="16"/>
  <c r="M79" i="7"/>
  <c r="N6" i="16"/>
  <c r="H123" i="7"/>
  <c r="I31" i="16"/>
  <c r="F122" i="7"/>
  <c r="M22" i="16"/>
  <c r="G30" i="16" s="1"/>
  <c r="J20" i="16"/>
  <c r="L20" i="16"/>
  <c r="H20" i="16"/>
  <c r="F28" i="15"/>
  <c r="O88" i="11"/>
  <c r="I121" i="11" s="1"/>
  <c r="I122" i="11" s="1"/>
  <c r="O85" i="11"/>
  <c r="O91" i="11"/>
  <c r="O94" i="11" s="1"/>
  <c r="P81" i="11"/>
  <c r="P84" i="11" s="1"/>
  <c r="P115" i="11"/>
  <c r="Q82" i="11"/>
  <c r="Q92" i="11"/>
  <c r="Q79" i="11"/>
  <c r="Q80" i="11" s="1"/>
  <c r="Q86" i="11"/>
  <c r="Q89" i="11"/>
  <c r="Q105" i="11"/>
  <c r="Q107" i="11" s="1"/>
  <c r="Q114" i="11"/>
  <c r="Q109" i="11"/>
  <c r="Q111" i="11" s="1"/>
  <c r="I127" i="11"/>
  <c r="I129" i="11" s="1"/>
  <c r="N107" i="7"/>
  <c r="N109" i="7" s="1"/>
  <c r="M109" i="7"/>
  <c r="N112" i="7"/>
  <c r="N84" i="7"/>
  <c r="O12" i="16" s="1"/>
  <c r="N87" i="7"/>
  <c r="O15" i="16" s="1"/>
  <c r="O16" i="16" s="1"/>
  <c r="N90" i="7"/>
  <c r="G121" i="7"/>
  <c r="M113" i="7"/>
  <c r="O77" i="7"/>
  <c r="N78" i="7"/>
  <c r="M80" i="7"/>
  <c r="H122" i="7" l="1"/>
  <c r="O22" i="16"/>
  <c r="I30" i="16" s="1"/>
  <c r="N7" i="16"/>
  <c r="N8" i="16"/>
  <c r="E6" i="15"/>
  <c r="E8" i="15"/>
  <c r="Q4" i="16"/>
  <c r="L23" i="16"/>
  <c r="F5" i="15" s="1"/>
  <c r="I23" i="15" s="1"/>
  <c r="L21" i="16"/>
  <c r="J23" i="16"/>
  <c r="J21" i="16"/>
  <c r="I29" i="16"/>
  <c r="O13" i="16"/>
  <c r="G124" i="7"/>
  <c r="H32" i="16"/>
  <c r="H124" i="7"/>
  <c r="I32" i="16"/>
  <c r="N79" i="7"/>
  <c r="O6" i="16"/>
  <c r="H23" i="16"/>
  <c r="H21" i="16"/>
  <c r="P88" i="11"/>
  <c r="P91" i="11" s="1"/>
  <c r="P94" i="11" s="1"/>
  <c r="P85" i="11"/>
  <c r="Q115" i="11"/>
  <c r="J121" i="11"/>
  <c r="J122" i="11" s="1"/>
  <c r="J127" i="11" s="1"/>
  <c r="Q81" i="11"/>
  <c r="Q84" i="11" s="1"/>
  <c r="O103" i="7"/>
  <c r="O105" i="7" s="1"/>
  <c r="O107" i="7"/>
  <c r="O109" i="7" s="1"/>
  <c r="O84" i="7"/>
  <c r="P12" i="16" s="1"/>
  <c r="O90" i="7"/>
  <c r="O87" i="7"/>
  <c r="P15" i="16" s="1"/>
  <c r="P16" i="16" s="1"/>
  <c r="O112" i="7"/>
  <c r="H121" i="7"/>
  <c r="N113" i="7"/>
  <c r="P77" i="7"/>
  <c r="O78" i="7"/>
  <c r="N80" i="7"/>
  <c r="R4" i="16" l="1"/>
  <c r="I124" i="7"/>
  <c r="J32" i="16"/>
  <c r="O79" i="7"/>
  <c r="P6" i="16"/>
  <c r="I122" i="7"/>
  <c r="P22" i="16"/>
  <c r="J30" i="16" s="1"/>
  <c r="O7" i="16"/>
  <c r="O8" i="16"/>
  <c r="J29" i="16"/>
  <c r="P13" i="16"/>
  <c r="I123" i="7"/>
  <c r="J31" i="16"/>
  <c r="Q88" i="11"/>
  <c r="Q85" i="11"/>
  <c r="J129" i="11"/>
  <c r="Q91" i="11"/>
  <c r="Q94" i="11" s="1"/>
  <c r="P103" i="7"/>
  <c r="P105" i="7" s="1"/>
  <c r="P107" i="7"/>
  <c r="P109" i="7" s="1"/>
  <c r="P84" i="7"/>
  <c r="Q12" i="16" s="1"/>
  <c r="P87" i="7"/>
  <c r="Q15" i="16" s="1"/>
  <c r="Q16" i="16" s="1"/>
  <c r="P90" i="7"/>
  <c r="P112" i="7"/>
  <c r="I121" i="7"/>
  <c r="O113" i="7"/>
  <c r="O80" i="7"/>
  <c r="Q77" i="7"/>
  <c r="P78" i="7"/>
  <c r="J122" i="7" l="1"/>
  <c r="Q22" i="16"/>
  <c r="K30" i="16" s="1"/>
  <c r="J123" i="7"/>
  <c r="K31" i="16"/>
  <c r="P79" i="7"/>
  <c r="Q6" i="16"/>
  <c r="K29" i="16"/>
  <c r="Q13" i="16"/>
  <c r="J124" i="7"/>
  <c r="K32" i="16"/>
  <c r="P7" i="16"/>
  <c r="P8" i="16"/>
  <c r="E134" i="11"/>
  <c r="E137" i="11" s="1"/>
  <c r="Q103" i="7"/>
  <c r="Q105" i="7" s="1"/>
  <c r="Q107" i="7"/>
  <c r="Q109" i="7" s="1"/>
  <c r="Q84" i="7"/>
  <c r="Q90" i="7"/>
  <c r="Q87" i="7"/>
  <c r="R15" i="16" s="1"/>
  <c r="R16" i="16" s="1"/>
  <c r="Q112" i="7"/>
  <c r="R22" i="16" s="1"/>
  <c r="J121" i="7"/>
  <c r="P113" i="7"/>
  <c r="P80" i="7"/>
  <c r="Q78" i="7"/>
  <c r="Q113" i="7" l="1"/>
  <c r="R12" i="16"/>
  <c r="R13" i="16" s="1"/>
  <c r="Q7" i="16"/>
  <c r="Q8" i="16"/>
  <c r="Q79" i="7"/>
  <c r="R6" i="16"/>
  <c r="Q80" i="7"/>
  <c r="R82" i="7"/>
  <c r="Q81" i="7" s="1"/>
  <c r="R9" i="16" s="1"/>
  <c r="R10" i="16" s="1"/>
  <c r="R8" i="16" l="1"/>
  <c r="R11" i="16" s="1"/>
  <c r="R14" i="16" s="1"/>
  <c r="R17" i="16" s="1"/>
  <c r="R7" i="16"/>
  <c r="Q83" i="7"/>
  <c r="Q86" i="7" s="1"/>
  <c r="Q89" i="7" s="1"/>
  <c r="Q92" i="7" s="1"/>
  <c r="N81" i="7"/>
  <c r="L81" i="7"/>
  <c r="O81" i="7"/>
  <c r="P81" i="7"/>
  <c r="M81" i="7"/>
  <c r="M83" i="7" l="1"/>
  <c r="M86" i="7" s="1"/>
  <c r="G119" i="7" s="1"/>
  <c r="G120" i="7" s="1"/>
  <c r="G125" i="7" s="1"/>
  <c r="G127" i="7" s="1"/>
  <c r="N9" i="16"/>
  <c r="P83" i="7"/>
  <c r="P86" i="7" s="1"/>
  <c r="J119" i="7" s="1"/>
  <c r="J120" i="7" s="1"/>
  <c r="J125" i="7" s="1"/>
  <c r="J126" i="7" s="1"/>
  <c r="Q9" i="16"/>
  <c r="O83" i="7"/>
  <c r="O86" i="7" s="1"/>
  <c r="I119" i="7" s="1"/>
  <c r="I120" i="7" s="1"/>
  <c r="I125" i="7" s="1"/>
  <c r="I127" i="7" s="1"/>
  <c r="P9" i="16"/>
  <c r="L83" i="7"/>
  <c r="L86" i="7" s="1"/>
  <c r="F119" i="7" s="1"/>
  <c r="F120" i="7" s="1"/>
  <c r="F125" i="7" s="1"/>
  <c r="F127" i="7" s="1"/>
  <c r="M9" i="16"/>
  <c r="N83" i="7"/>
  <c r="N86" i="7" s="1"/>
  <c r="H119" i="7" s="1"/>
  <c r="O9" i="16"/>
  <c r="R18" i="16"/>
  <c r="R19" i="16" s="1"/>
  <c r="M89" i="7"/>
  <c r="M92" i="7" s="1"/>
  <c r="N89" i="7" l="1"/>
  <c r="N92" i="7" s="1"/>
  <c r="O89" i="7"/>
  <c r="O92" i="7" s="1"/>
  <c r="P89" i="7"/>
  <c r="P92" i="7" s="1"/>
  <c r="O10" i="16"/>
  <c r="O11" i="16"/>
  <c r="O14" i="16" s="1"/>
  <c r="Q10" i="16"/>
  <c r="Q11" i="16"/>
  <c r="Q14" i="16" s="1"/>
  <c r="L89" i="7"/>
  <c r="L92" i="7" s="1"/>
  <c r="N10" i="16"/>
  <c r="N11" i="16"/>
  <c r="N14" i="16" s="1"/>
  <c r="R20" i="16"/>
  <c r="R21" i="16" s="1"/>
  <c r="P10" i="16"/>
  <c r="P11" i="16"/>
  <c r="P14" i="16" s="1"/>
  <c r="J127" i="7"/>
  <c r="H120" i="7"/>
  <c r="H125" i="7" s="1"/>
  <c r="H127" i="7" s="1"/>
  <c r="I27" i="16" l="1"/>
  <c r="I28" i="16" s="1"/>
  <c r="I33" i="16" s="1"/>
  <c r="I35" i="16" s="1"/>
  <c r="O17" i="16"/>
  <c r="E130" i="7"/>
  <c r="E132" i="7" s="1"/>
  <c r="E135" i="7" s="1"/>
  <c r="F140" i="7" s="1"/>
  <c r="P17" i="16"/>
  <c r="J27" i="16"/>
  <c r="J28" i="16" s="1"/>
  <c r="J33" i="16" s="1"/>
  <c r="J35" i="16" s="1"/>
  <c r="H27" i="16"/>
  <c r="H28" i="16" s="1"/>
  <c r="H33" i="16" s="1"/>
  <c r="H35" i="16" s="1"/>
  <c r="N17" i="16"/>
  <c r="Q17" i="16"/>
  <c r="K27" i="16"/>
  <c r="K28" i="16" s="1"/>
  <c r="K33" i="16" s="1"/>
  <c r="G26" i="15"/>
  <c r="G27" i="15"/>
  <c r="G25" i="15"/>
  <c r="I24" i="15"/>
  <c r="F8" i="15"/>
  <c r="O18" i="16" l="1"/>
  <c r="O19" i="16" s="1"/>
  <c r="Q18" i="16"/>
  <c r="Q19" i="16" s="1"/>
  <c r="N18" i="16"/>
  <c r="N19" i="16" s="1"/>
  <c r="P18" i="16"/>
  <c r="P19" i="16" s="1"/>
  <c r="H28" i="15"/>
  <c r="I25" i="15"/>
  <c r="I26" i="15" s="1"/>
  <c r="I27" i="15" s="1"/>
  <c r="F16" i="15"/>
  <c r="Q29" i="16"/>
  <c r="O20" i="16" l="1"/>
  <c r="O21" i="16" s="1"/>
  <c r="N20" i="16"/>
  <c r="N21" i="16" s="1"/>
  <c r="P20" i="16"/>
  <c r="P21" i="16" s="1"/>
  <c r="Q20" i="16"/>
  <c r="Q21" i="16" s="1"/>
  <c r="K34" i="16"/>
  <c r="K35" i="16" s="1"/>
  <c r="J27" i="15"/>
  <c r="J28" i="15" s="1"/>
  <c r="G30" i="15" l="1"/>
  <c r="G32" i="15" s="1"/>
  <c r="G31" i="15" l="1"/>
  <c r="G33" i="15" s="1"/>
  <c r="G35" i="15" s="1"/>
  <c r="M8" i="16"/>
  <c r="M11" i="16" s="1"/>
  <c r="M14" i="16" s="1"/>
  <c r="M16" i="16"/>
  <c r="M13" i="16"/>
  <c r="M10" i="16"/>
  <c r="M7" i="16"/>
  <c r="G27" i="16" l="1"/>
  <c r="G28" i="16" s="1"/>
  <c r="G33" i="16" s="1"/>
  <c r="G35" i="16" s="1"/>
  <c r="F38" i="16" s="1"/>
  <c r="F40" i="16" s="1"/>
  <c r="F43" i="16" s="1"/>
  <c r="F141" i="7" s="1"/>
  <c r="M17" i="16"/>
  <c r="M18" i="16" l="1"/>
  <c r="M19" i="16" s="1"/>
  <c r="M20" i="16" l="1"/>
  <c r="M21" i="16" s="1"/>
</calcChain>
</file>

<file path=xl/sharedStrings.xml><?xml version="1.0" encoding="utf-8"?>
<sst xmlns="http://schemas.openxmlformats.org/spreadsheetml/2006/main" count="647" uniqueCount="322">
  <si>
    <t>COMPANY NAME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</si>
  <si>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</si>
  <si>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</si>
  <si>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</si>
  <si>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</si>
  <si>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</si>
  <si>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</si>
  <si>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</si>
  <si>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</si>
  <si>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</si>
  <si>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</si>
  <si>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Price to earning</t>
  </si>
  <si>
    <t>OPM</t>
  </si>
  <si>
    <t>TRENDS: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</si>
  <si>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</si>
  <si>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</si>
  <si>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</si>
  <si>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</si>
  <si>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</si>
  <si>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</si>
  <si>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</si>
  <si>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</si>
  <si>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</si>
  <si>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</si>
  <si>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</si>
  <si>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</si>
  <si>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</si>
  <si>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</si>
  <si>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</si>
  <si>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</si>
  <si>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</si>
  <si>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</si>
  <si>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</si>
  <si>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</si>
  <si>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</si>
  <si>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</si>
  <si>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</si>
  <si>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TATA COMMUNICATIONS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</si>
  <si>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</si>
  <si>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</si>
  <si>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</si>
  <si>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</si>
  <si>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</si>
  <si>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</si>
  <si>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</si>
  <si>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</si>
  <si>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</si>
  <si>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</si>
  <si>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</si>
  <si>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</si>
  <si>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</si>
  <si>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</si>
  <si>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</si>
  <si>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</si>
  <si>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</si>
  <si>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</si>
  <si>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</si>
  <si>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</si>
  <si>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</si>
  <si>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(₹ Crores/10 Millions)</t>
  </si>
  <si>
    <t>&lt;&lt; Latest available quarterly results</t>
  </si>
  <si>
    <t>Last 4 Quarters</t>
  </si>
  <si>
    <t>Total 10 Yrs</t>
  </si>
  <si>
    <t>10Yr</t>
  </si>
  <si>
    <t>7Yr</t>
  </si>
  <si>
    <t>5Yr</t>
  </si>
  <si>
    <t>3Yr</t>
  </si>
  <si>
    <t>TTM</t>
  </si>
  <si>
    <t>Operating Profit Margin (OPM%)</t>
  </si>
  <si>
    <t>PAT Growth</t>
  </si>
  <si>
    <t>Avg. PE</t>
  </si>
  <si>
    <t>CMP</t>
  </si>
  <si>
    <t>Profit before tax (PBT)</t>
  </si>
  <si>
    <t>P/E</t>
  </si>
  <si>
    <t>Tax%</t>
  </si>
  <si>
    <t>P/B</t>
  </si>
  <si>
    <t>Net profit after tax (PAT)</t>
  </si>
  <si>
    <t>P/E*P/B</t>
  </si>
  <si>
    <t>Net Profit Margin (NPM%)</t>
  </si>
  <si>
    <t>Div Yield</t>
  </si>
  <si>
    <t>Cash from Operating Activity (CFO)</t>
  </si>
  <si>
    <t>CFO</t>
  </si>
  <si>
    <t>Market Cap</t>
  </si>
  <si>
    <t>Capex {(NFA+WIP) change+Dep}</t>
  </si>
  <si>
    <t>Capex</t>
  </si>
  <si>
    <t>FCF</t>
  </si>
  <si>
    <t>Total Retained Earnings (RE) in 10 Yrs (A)</t>
  </si>
  <si>
    <t>Total Debt (D)</t>
  </si>
  <si>
    <t>FCFE (Post Int. exp.)</t>
  </si>
  <si>
    <t>Total increase in Mcap in 10 yrs (B)</t>
  </si>
  <si>
    <t>Share Capital</t>
  </si>
  <si>
    <t>Total Div 10 Yrs</t>
  </si>
  <si>
    <t>Value created per INR of RE (B/A)</t>
  </si>
  <si>
    <t>Dividend Paid (Div) Without DDT</t>
  </si>
  <si>
    <t>Inc. in Debt in 10Yrs</t>
  </si>
  <si>
    <t>Cash + Investments (CI +NCI)</t>
  </si>
  <si>
    <t>Cash+Investments</t>
  </si>
  <si>
    <t>Closing share price on March 31, 10 years back</t>
  </si>
  <si>
    <t>FCF/CFO</t>
  </si>
  <si>
    <t>Self-Sustainable Growth Rate (SSGR)</t>
  </si>
  <si>
    <t>Interest Outgo</t>
  </si>
  <si>
    <t>Trade Receivables</t>
  </si>
  <si>
    <t>EBITDA</t>
  </si>
  <si>
    <t>PBT/Avg. NFA (&lt;10%,&gt;25%)</t>
  </si>
  <si>
    <t>ROE on Avg Equity (&lt;7%,&gt;25%)</t>
  </si>
  <si>
    <t>ROCE (EBIT on Avg CE/TA) (&lt;10%,&gt;35%)</t>
  </si>
  <si>
    <t>Incremental ROE 3Yr Rolling</t>
  </si>
  <si>
    <t>Net Fixed Asset Turnover (High is better)</t>
  </si>
  <si>
    <t>Receivables days (Low is better)</t>
  </si>
  <si>
    <t>Inventory Turnover (High is better)</t>
  </si>
  <si>
    <t>Working capital cycle days (Rec + Inv Days)</t>
  </si>
  <si>
    <t>Net Fixed Assets (NFA)</t>
  </si>
  <si>
    <t>Capital Work in Progress (CWIP)</t>
  </si>
  <si>
    <t>Div Growth</t>
  </si>
  <si>
    <t>Dividend Payout (Div/PAT)</t>
  </si>
  <si>
    <t>Retained Earnings (RE=PAT-Div)</t>
  </si>
  <si>
    <t>Mcap</t>
  </si>
  <si>
    <t>Debt</t>
  </si>
  <si>
    <t>Total Equity (E)</t>
  </si>
  <si>
    <t>Book Value</t>
  </si>
  <si>
    <t>Debt to Equity ratio (D/E)</t>
  </si>
  <si>
    <t>Cost of funds</t>
  </si>
  <si>
    <t>Interest outgo (Rs. Cr.)</t>
  </si>
  <si>
    <t>Interest Coverage (OP/Int. Out)</t>
  </si>
  <si>
    <t>Cash from Investing Activity (CFI)</t>
  </si>
  <si>
    <t>Cash from Financing Activity (CFF)</t>
  </si>
  <si>
    <t>Net Cash Flow (CFO+CFI+CFF)</t>
  </si>
  <si>
    <t>Cash &amp; Eq. at the end of year</t>
  </si>
  <si>
    <t>Depreciation % of NFA</t>
  </si>
  <si>
    <t>Costs as % of Sales</t>
  </si>
  <si>
    <t>Raw Material</t>
  </si>
  <si>
    <t>Power &amp; Fuel</t>
  </si>
  <si>
    <t>Employee Costs</t>
  </si>
  <si>
    <t>Selling &amp; Admin Costs</t>
  </si>
  <si>
    <t>Other Manufacturing Expenses</t>
  </si>
  <si>
    <t>Source: Screener.in</t>
  </si>
  <si>
    <t>Change in 10 Yrs</t>
  </si>
  <si>
    <t>Current Liabilities</t>
  </si>
  <si>
    <t>Prepaid Expenses</t>
  </si>
  <si>
    <t>BHARTI AIRTEL LTD</t>
  </si>
  <si>
    <t xml:space="preserve">Sales </t>
  </si>
  <si>
    <t xml:space="preserve">Cost of Goods Sold </t>
  </si>
  <si>
    <t xml:space="preserve">Gross profit </t>
  </si>
  <si>
    <t xml:space="preserve">Operating Expenses </t>
  </si>
  <si>
    <t xml:space="preserve">EBITDA </t>
  </si>
  <si>
    <t xml:space="preserve">Depreciation &amp; Amortization </t>
  </si>
  <si>
    <t xml:space="preserve">EBIT </t>
  </si>
  <si>
    <t xml:space="preserve">Interest </t>
  </si>
  <si>
    <t xml:space="preserve">Taxes </t>
  </si>
  <si>
    <t xml:space="preserve">PBT </t>
  </si>
  <si>
    <t xml:space="preserve">PAT </t>
  </si>
  <si>
    <t xml:space="preserve">FCF </t>
  </si>
  <si>
    <t>Net Working Capital</t>
  </si>
  <si>
    <t>working cash</t>
  </si>
  <si>
    <t>A/R</t>
  </si>
  <si>
    <t>Other CA</t>
  </si>
  <si>
    <t>A/P</t>
  </si>
  <si>
    <t>Net working capital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</si>
  <si>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NWC</t>
    </r>
  </si>
  <si>
    <t>Other assets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</si>
  <si>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Other assets</t>
    </r>
  </si>
  <si>
    <t>Beginning net PP&amp;E</t>
  </si>
  <si>
    <t>Capital Expenditures</t>
  </si>
  <si>
    <t>Ending Net PP&amp;E</t>
  </si>
  <si>
    <t>Payables</t>
  </si>
  <si>
    <t>Category</t>
  </si>
  <si>
    <t>Tata Communications</t>
  </si>
  <si>
    <t>Sify Tech</t>
  </si>
  <si>
    <t>HCL Tech</t>
  </si>
  <si>
    <t>Current Asset</t>
  </si>
  <si>
    <t xml:space="preserve">CoGS Constituents </t>
  </si>
  <si>
    <t xml:space="preserve">COGS % of Sales </t>
  </si>
  <si>
    <t xml:space="preserve">Opex % of Sales </t>
  </si>
  <si>
    <t xml:space="preserve">Depreciation &amp; Amortization  % of Revenue </t>
  </si>
  <si>
    <t>Interest % of Sales</t>
  </si>
  <si>
    <t xml:space="preserve">Tax % of Sales </t>
  </si>
  <si>
    <t>Free Cash Flow Calculation</t>
  </si>
  <si>
    <t>Pro Forma =&gt;</t>
  </si>
  <si>
    <t>EBIT</t>
  </si>
  <si>
    <t>EBIT(1-t)</t>
  </si>
  <si>
    <t>tax rate =</t>
  </si>
  <si>
    <t>Capital expenditures</t>
  </si>
  <si>
    <t>Free cash flow</t>
  </si>
  <si>
    <t>Terminal value</t>
  </si>
  <si>
    <t xml:space="preserve">Perp. g = </t>
  </si>
  <si>
    <t>growing perpetuity</t>
  </si>
  <si>
    <t>Discount factor</t>
  </si>
  <si>
    <t>PV(FCF + TV)</t>
  </si>
  <si>
    <t>PV Enterprise</t>
  </si>
  <si>
    <t>Less EOY 2008 Debt</t>
  </si>
  <si>
    <t>Estimated Equity Value</t>
  </si>
  <si>
    <t>Value per share</t>
  </si>
  <si>
    <r>
      <t xml:space="preserve">effective tax rate of </t>
    </r>
    <r>
      <rPr>
        <b/>
        <sz val="11"/>
        <color theme="1"/>
        <rFont val="Calibri"/>
        <family val="2"/>
        <scheme val="minor"/>
      </rPr>
      <t>25.168%</t>
    </r>
  </si>
  <si>
    <t xml:space="preserve">Capex as % of Sales </t>
  </si>
  <si>
    <t xml:space="preserve">Current Assets </t>
  </si>
  <si>
    <t xml:space="preserve">Net Working Capital as % of Assets </t>
  </si>
  <si>
    <t xml:space="preserve">Other Assets as % of Revenue </t>
  </si>
  <si>
    <t xml:space="preserve">Change in Net Working Capital </t>
  </si>
  <si>
    <t>Parameter</t>
  </si>
  <si>
    <t>Industry Average</t>
  </si>
  <si>
    <t>Debt-to-Equity Ratio</t>
  </si>
  <si>
    <t>Debt-to-Enterprise Value Ratio</t>
  </si>
  <si>
    <t>Interest Coverage Ratio</t>
  </si>
  <si>
    <t>Effective Tax Rate</t>
  </si>
  <si>
    <t>Cost of Debt (Pre-tax)</t>
  </si>
  <si>
    <t>Cost of Equity</t>
  </si>
  <si>
    <t>WACC</t>
  </si>
  <si>
    <t xml:space="preserve">market Risk Premium </t>
  </si>
  <si>
    <t>Region</t>
  </si>
  <si>
    <t>ERP</t>
  </si>
  <si>
    <t>Default Spread</t>
  </si>
  <si>
    <t>Weighted Average: Default Spreads</t>
  </si>
  <si>
    <t>Tax Rate</t>
  </si>
  <si>
    <t>Weighted Average: CRP</t>
  </si>
  <si>
    <t>Total GDP (in $ millions)</t>
  </si>
  <si>
    <t>Africa</t>
  </si>
  <si>
    <t>Asia</t>
  </si>
  <si>
    <t>Country</t>
  </si>
  <si>
    <t>Moody's rating</t>
  </si>
  <si>
    <t>Adj. Default Spread</t>
  </si>
  <si>
    <t>Equity Risk Premium</t>
  </si>
  <si>
    <t>Country Risk Premium</t>
  </si>
  <si>
    <t>Corporate Tax Rate</t>
  </si>
  <si>
    <t>India</t>
  </si>
  <si>
    <t>Baa3</t>
  </si>
  <si>
    <t>South Asia</t>
  </si>
  <si>
    <t>Revenue by Geography</t>
  </si>
  <si>
    <t xml:space="preserve">ERP Calculation </t>
  </si>
  <si>
    <t xml:space="preserve">Revenue weighted ERP </t>
  </si>
  <si>
    <t xml:space="preserve">Debt-to-Capital Ratio </t>
  </si>
  <si>
    <t xml:space="preserve">Equity-to-Capital Ratio </t>
  </si>
  <si>
    <t xml:space="preserve">Unlevered Beta </t>
  </si>
  <si>
    <t xml:space="preserve">Risk free rate </t>
  </si>
  <si>
    <t xml:space="preserve"> Airtel </t>
  </si>
  <si>
    <t xml:space="preserve">Tata Communications </t>
  </si>
  <si>
    <t xml:space="preserve">ERP </t>
  </si>
  <si>
    <t>number of shares in Crores</t>
  </si>
  <si>
    <t xml:space="preserve">Sales Growth </t>
  </si>
  <si>
    <t xml:space="preserve">Interest % of Total Debt </t>
  </si>
  <si>
    <t>Debt to Capital = 72.14%</t>
  </si>
  <si>
    <t>Equity to Capital = 27.86%</t>
  </si>
  <si>
    <t xml:space="preserve">Depreciation &amp; Amortization  % of Sales </t>
  </si>
  <si>
    <t xml:space="preserve">Capex as % of Cash </t>
  </si>
  <si>
    <t xml:space="preserve">Operating Profit Margin </t>
  </si>
  <si>
    <t>Free Cashflow to Equity</t>
  </si>
  <si>
    <t>Growth rate for first 5 years</t>
  </si>
  <si>
    <t>Beta</t>
  </si>
  <si>
    <t>Req. rate of return(WACC)</t>
  </si>
  <si>
    <t>Riskfree Rate</t>
  </si>
  <si>
    <t>Per share FCFE</t>
  </si>
  <si>
    <t xml:space="preserve">Perpetual Growth Rate </t>
  </si>
  <si>
    <t>YEAR</t>
  </si>
  <si>
    <t>FCF (A)</t>
  </si>
  <si>
    <t>Term Val (A)</t>
  </si>
  <si>
    <t>FCF (B)</t>
  </si>
  <si>
    <t>Term. Val (B)</t>
  </si>
  <si>
    <t>FCF (A+B)</t>
  </si>
  <si>
    <t>TV (A+B)</t>
  </si>
  <si>
    <t>FCF (A+B:S)</t>
  </si>
  <si>
    <t>TV (A+B:S)</t>
  </si>
  <si>
    <t>PRESENT VALUE</t>
  </si>
  <si>
    <t xml:space="preserve">Capex </t>
  </si>
  <si>
    <t xml:space="preserve">Airtel </t>
  </si>
  <si>
    <t>cr</t>
  </si>
  <si>
    <t>FCFE=FCF−Interest×(1−Tax Rate)+Net Borrowing</t>
  </si>
  <si>
    <t xml:space="preserve">Total Debt </t>
  </si>
  <si>
    <t xml:space="preserve">(Sales -(depreciation+Marketing exp + SG&amp;A)-Interest)*(1-tax%) +depreciation - capex - NWC change </t>
  </si>
  <si>
    <t xml:space="preserve">Net Debt </t>
  </si>
  <si>
    <t xml:space="preserve">Number of Shares </t>
  </si>
  <si>
    <t xml:space="preserve">Formula Used for FCFE </t>
  </si>
  <si>
    <t xml:space="preserve">Growth rate </t>
  </si>
  <si>
    <t xml:space="preserve">EPS </t>
  </si>
  <si>
    <t xml:space="preserve">Current Market Price </t>
  </si>
  <si>
    <t>EPS (Pre Merger)</t>
  </si>
  <si>
    <t>Premium Over the CMP</t>
  </si>
  <si>
    <t xml:space="preserve">Sales Growth  % </t>
  </si>
  <si>
    <t xml:space="preserve">7%-10% </t>
  </si>
  <si>
    <t xml:space="preserve">Assumptions for Valuations </t>
  </si>
  <si>
    <t>Growth Rate for TATA Communication</t>
  </si>
  <si>
    <t xml:space="preserve">Growth Rate for Airtel </t>
  </si>
  <si>
    <t xml:space="preserve">Growth Rate Post Acquisition </t>
  </si>
  <si>
    <t xml:space="preserve">Rsk Free Rate </t>
  </si>
  <si>
    <t xml:space="preserve">Effective Tax Rate </t>
  </si>
  <si>
    <t xml:space="preserve">Perpetual Growth rate </t>
  </si>
  <si>
    <t>23%-25%</t>
  </si>
  <si>
    <t>25%-27%</t>
  </si>
  <si>
    <t>Less EOY 2024 Debt</t>
  </si>
  <si>
    <t xml:space="preserve">Intrinsic Value per Share </t>
  </si>
  <si>
    <t>Airtel (acquirer)</t>
  </si>
  <si>
    <t xml:space="preserve">Tata Communication (Target) </t>
  </si>
  <si>
    <t>Combined entity</t>
  </si>
  <si>
    <t xml:space="preserve">Actual </t>
  </si>
  <si>
    <t>Valuation (as per DCF)</t>
  </si>
  <si>
    <t xml:space="preserve">Company </t>
  </si>
  <si>
    <t>10-Year</t>
  </si>
  <si>
    <t>7-Year</t>
  </si>
  <si>
    <t>5-Year</t>
  </si>
  <si>
    <t>3-Year</t>
  </si>
  <si>
    <t>PAT Growth (Profit After Tax)</t>
  </si>
  <si>
    <t xml:space="preserve">Target Company Financials </t>
  </si>
  <si>
    <t xml:space="preserve">Acquiring Company Financials </t>
  </si>
  <si>
    <t>Synergy gain (TakeOver Premium)</t>
  </si>
  <si>
    <t>ROCE</t>
  </si>
  <si>
    <t>ROE</t>
  </si>
  <si>
    <t>EPS</t>
  </si>
  <si>
    <t>PV Enterprise in crores</t>
  </si>
  <si>
    <t>PV Enterprise in Crores</t>
  </si>
  <si>
    <t>EVEBITDA</t>
  </si>
  <si>
    <r>
      <t>17.6</t>
    </r>
    <r>
      <rPr>
        <sz val="9"/>
        <color theme="1"/>
        <rFont val="Arial"/>
        <family val="2"/>
      </rPr>
      <t> %</t>
    </r>
  </si>
  <si>
    <r>
      <t>ROE</t>
    </r>
    <r>
      <rPr>
        <sz val="9"/>
        <color theme="1"/>
        <rFont val="Arial"/>
        <family val="2"/>
      </rPr>
      <t>65.2</t>
    </r>
    <r>
      <rPr>
        <sz val="9"/>
        <color theme="1"/>
        <rFont val="Arial"/>
        <family val="2"/>
      </rPr>
      <t> %</t>
    </r>
  </si>
  <si>
    <t>Market Capitalization in Cr.</t>
  </si>
  <si>
    <t xml:space="preserve">Key Parameters </t>
  </si>
  <si>
    <t>Most that bidder firm can bid for target</t>
  </si>
  <si>
    <t>% Premium over the Target's Computed Enterprise Value</t>
  </si>
  <si>
    <t>Reservation Price/Share</t>
  </si>
  <si>
    <t xml:space="preserve">Target (TATACOMM) </t>
  </si>
  <si>
    <t>Bidder (BHARTIARTL)</t>
  </si>
  <si>
    <t>No synergy</t>
  </si>
  <si>
    <t>With Synergy</t>
  </si>
  <si>
    <t xml:space="preserve">Parameters </t>
  </si>
  <si>
    <t>TATACOMM</t>
  </si>
  <si>
    <t>AIRTEL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</si>
</sst>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_(* #,##0.000_);_(* \(#,##0.000\);_(* &quot;-&quot;??_);_(@_)"/>
    <numFmt numFmtId="167" formatCode="_ * #,##0_ ;_ * \-#,##0_ ;_ * &quot;-&quot;??_ ;_ @_ "/>
    <numFmt numFmtId="168" formatCode="#,##0.0_);[Red]\(#,##0.0\)"/>
    <numFmt numFmtId="169" formatCode="_ * #,##0.0_ ;_ * \-#,##0.0_ ;_ * &quot;-&quot;??_ ;_ @_ "/>
    <numFmt numFmtId="170" formatCode="0.0%"/>
    <numFmt numFmtId="171" formatCode="0.0"/>
    <numFmt numFmtId="172" formatCode="0.000"/>
    <numFmt numFmtId="173" formatCode="_(* #,##0_);_(* \(#,##0\);_(* &quot;-&quot;??_);_(@_)"/>
    <numFmt numFmtId="174" formatCode="0.000%"/>
    <numFmt numFmtId="175" formatCode="_ [$₹-4009]\ * #,##0.00_ ;_ [$₹-4009]\ * \-#,##0.00_ ;_ [$₹-4009]\ * &quot;-&quot;??_ ;_ @_ "/>
    <numFmt numFmtId="176" formatCode="_ [$₹-4009]\ * #,##0_ ;_ [$₹-4009]\ * \-#,##0_ ;_ [$₹-4009]\ * &quot;-&quot;??_ ;_ @_ 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rgb="FF22222F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rgb="FF0066FF"/>
      <name val="Calibri"/>
      <family val="2"/>
      <scheme val="minor"/>
    </font>
    <font>
      <sz val="11"/>
      <color rgb="FF0066FF"/>
      <name val="Calibri"/>
      <family val="2"/>
      <scheme val="minor"/>
    </font>
    <font>
      <sz val="10"/>
      <name val="Arial"/>
      <family val="2"/>
    </font>
    <font>
      <b/>
      <i/>
      <sz val="10"/>
      <color indexed="8"/>
      <name val="Arial"/>
      <family val="2"/>
    </font>
    <font>
      <b/>
      <sz val="10"/>
      <name val="MS Sans Serif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Times"/>
      <family val="1"/>
    </font>
    <font>
      <b/>
      <sz val="14"/>
      <color theme="1"/>
      <name val="Calibri"/>
      <family val="2"/>
      <scheme val="minor"/>
    </font>
    <font>
      <b/>
      <sz val="10"/>
      <name val="Tms Rmn"/>
    </font>
    <font>
      <sz val="10"/>
      <name val="Tms Rmn"/>
    </font>
    <font>
      <sz val="12"/>
      <color rgb="FFF8FAFF"/>
      <name val="Times New Roman"/>
      <family val="1"/>
    </font>
    <font>
      <b/>
      <sz val="10"/>
      <color rgb="FF212529"/>
      <name val="Segoe UI"/>
      <family val="2"/>
    </font>
    <font>
      <sz val="11"/>
      <color rgb="FF22222F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A3DB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4" fillId="0" borderId="0" applyFill="0" applyBorder="0" applyProtection="0">
      <protection locked="0"/>
    </xf>
    <xf numFmtId="0" fontId="16" fillId="0" borderId="0" applyNumberFormat="0" applyFill="0" applyBorder="0" applyAlignment="0" applyProtection="0"/>
  </cellStyleXfs>
  <cellXfs count="204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64" fontId="3" fillId="0" borderId="0" xfId="1" applyFont="1" applyBorder="1"/>
    <xf numFmtId="9" fontId="1" fillId="0" borderId="0" xfId="4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43" fontId="0" fillId="0" borderId="0" xfId="1" applyNumberFormat="1" applyFont="1" applyBorder="1"/>
    <xf numFmtId="165" fontId="7" fillId="4" borderId="0" xfId="0" applyNumberFormat="1" applyFont="1" applyFill="1" applyAlignment="1">
      <alignment horizontal="center"/>
    </xf>
    <xf numFmtId="166" fontId="0" fillId="0" borderId="0" xfId="0" applyNumberFormat="1"/>
    <xf numFmtId="43" fontId="0" fillId="0" borderId="0" xfId="0" applyNumberFormat="1"/>
    <xf numFmtId="0" fontId="2" fillId="5" borderId="0" xfId="0" applyFont="1" applyFill="1"/>
    <xf numFmtId="165" fontId="2" fillId="5" borderId="0" xfId="0" applyNumberFormat="1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38" fontId="1" fillId="0" borderId="0" xfId="0" applyNumberFormat="1" applyFont="1" applyAlignment="1">
      <alignment horizontal="center"/>
    </xf>
    <xf numFmtId="167" fontId="3" fillId="0" borderId="0" xfId="1" applyNumberFormat="1" applyFont="1" applyBorder="1"/>
    <xf numFmtId="167" fontId="1" fillId="0" borderId="0" xfId="1" applyNumberFormat="1" applyFont="1" applyBorder="1"/>
    <xf numFmtId="38" fontId="1" fillId="0" borderId="0" xfId="0" applyNumberFormat="1" applyFont="1"/>
    <xf numFmtId="9" fontId="0" fillId="0" borderId="0" xfId="4" applyFont="1" applyBorder="1"/>
    <xf numFmtId="38" fontId="3" fillId="0" borderId="0" xfId="1" applyNumberFormat="1" applyFont="1" applyBorder="1"/>
    <xf numFmtId="9" fontId="0" fillId="0" borderId="0" xfId="0" applyNumberFormat="1"/>
    <xf numFmtId="38" fontId="0" fillId="0" borderId="0" xfId="0" applyNumberFormat="1"/>
    <xf numFmtId="9" fontId="1" fillId="0" borderId="0" xfId="0" applyNumberFormat="1" applyFont="1"/>
    <xf numFmtId="168" fontId="3" fillId="0" borderId="0" xfId="1" applyNumberFormat="1" applyFont="1" applyBorder="1"/>
    <xf numFmtId="9" fontId="3" fillId="0" borderId="0" xfId="4" applyFont="1" applyBorder="1"/>
    <xf numFmtId="38" fontId="0" fillId="0" borderId="0" xfId="1" applyNumberFormat="1" applyFont="1" applyBorder="1"/>
    <xf numFmtId="169" fontId="1" fillId="0" borderId="0" xfId="1" applyNumberFormat="1" applyFont="1" applyFill="1" applyBorder="1"/>
    <xf numFmtId="168" fontId="3" fillId="0" borderId="0" xfId="1" applyNumberFormat="1" applyFont="1" applyFill="1" applyBorder="1"/>
    <xf numFmtId="169" fontId="0" fillId="0" borderId="0" xfId="1" applyNumberFormat="1" applyFont="1" applyBorder="1"/>
    <xf numFmtId="167" fontId="0" fillId="0" borderId="0" xfId="1" applyNumberFormat="1" applyFont="1" applyBorder="1"/>
    <xf numFmtId="170" fontId="3" fillId="0" borderId="0" xfId="4" applyNumberFormat="1" applyFont="1" applyBorder="1"/>
    <xf numFmtId="0" fontId="1" fillId="0" borderId="0" xfId="0" applyFont="1" applyAlignment="1">
      <alignment horizontal="center"/>
    </xf>
    <xf numFmtId="38" fontId="1" fillId="0" borderId="0" xfId="1" applyNumberFormat="1" applyFont="1" applyBorder="1"/>
    <xf numFmtId="9" fontId="1" fillId="0" borderId="0" xfId="0" applyNumberFormat="1" applyFont="1" applyAlignment="1">
      <alignment horizontal="center"/>
    </xf>
    <xf numFmtId="167" fontId="1" fillId="0" borderId="0" xfId="1" applyNumberFormat="1" applyFont="1" applyFill="1" applyBorder="1"/>
    <xf numFmtId="38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167" fontId="1" fillId="0" borderId="0" xfId="0" applyNumberFormat="1" applyFont="1"/>
    <xf numFmtId="40" fontId="1" fillId="0" borderId="0" xfId="1" applyNumberFormat="1" applyFont="1" applyFill="1" applyBorder="1"/>
    <xf numFmtId="9" fontId="1" fillId="0" borderId="0" xfId="4" applyFont="1" applyBorder="1" applyAlignment="1">
      <alignment horizontal="right"/>
    </xf>
    <xf numFmtId="0" fontId="1" fillId="6" borderId="1" xfId="0" applyFont="1" applyFill="1" applyBorder="1"/>
    <xf numFmtId="9" fontId="1" fillId="0" borderId="0" xfId="4" applyFont="1" applyFill="1" applyBorder="1"/>
    <xf numFmtId="1" fontId="0" fillId="0" borderId="0" xfId="0" applyNumberFormat="1"/>
    <xf numFmtId="169" fontId="3" fillId="0" borderId="0" xfId="1" applyNumberFormat="1" applyFont="1" applyBorder="1"/>
    <xf numFmtId="171" fontId="1" fillId="0" borderId="0" xfId="0" applyNumberFormat="1" applyFont="1"/>
    <xf numFmtId="170" fontId="1" fillId="7" borderId="0" xfId="0" applyNumberFormat="1" applyFont="1" applyFill="1"/>
    <xf numFmtId="40" fontId="1" fillId="0" borderId="0" xfId="0" applyNumberFormat="1" applyFont="1"/>
    <xf numFmtId="171" fontId="0" fillId="0" borderId="0" xfId="0" applyNumberFormat="1"/>
    <xf numFmtId="2" fontId="1" fillId="0" borderId="0" xfId="0" applyNumberFormat="1" applyFont="1"/>
    <xf numFmtId="0" fontId="0" fillId="8" borderId="0" xfId="0" applyFill="1"/>
    <xf numFmtId="38" fontId="1" fillId="0" borderId="2" xfId="0" applyNumberFormat="1" applyFont="1" applyBorder="1" applyAlignment="1">
      <alignment horizontal="center"/>
    </xf>
    <xf numFmtId="38" fontId="1" fillId="0" borderId="2" xfId="0" applyNumberFormat="1" applyFont="1" applyBorder="1"/>
    <xf numFmtId="9" fontId="0" fillId="0" borderId="2" xfId="4" applyFont="1" applyBorder="1"/>
    <xf numFmtId="9" fontId="0" fillId="0" borderId="2" xfId="0" applyNumberFormat="1" applyBorder="1"/>
    <xf numFmtId="168" fontId="3" fillId="0" borderId="2" xfId="1" applyNumberFormat="1" applyFont="1" applyBorder="1"/>
    <xf numFmtId="167" fontId="0" fillId="0" borderId="0" xfId="0" applyNumberFormat="1"/>
    <xf numFmtId="164" fontId="0" fillId="7" borderId="0" xfId="1" applyFont="1" applyFill="1" applyBorder="1"/>
    <xf numFmtId="0" fontId="0" fillId="9" borderId="0" xfId="0" applyFill="1"/>
    <xf numFmtId="9" fontId="0" fillId="0" borderId="0" xfId="4" applyFont="1"/>
    <xf numFmtId="165" fontId="0" fillId="10" borderId="0" xfId="0" applyNumberFormat="1" applyFill="1"/>
    <xf numFmtId="1" fontId="8" fillId="8" borderId="0" xfId="0" applyNumberFormat="1" applyFont="1" applyFill="1"/>
    <xf numFmtId="1" fontId="0" fillId="8" borderId="0" xfId="0" applyNumberFormat="1" applyFill="1"/>
    <xf numFmtId="1" fontId="8" fillId="11" borderId="0" xfId="0" applyNumberFormat="1" applyFont="1" applyFill="1"/>
    <xf numFmtId="0" fontId="10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right" vertical="center" wrapText="1"/>
    </xf>
    <xf numFmtId="38" fontId="0" fillId="8" borderId="0" xfId="0" applyNumberFormat="1" applyFill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0" fontId="11" fillId="13" borderId="0" xfId="0" applyFont="1" applyFill="1"/>
    <xf numFmtId="0" fontId="0" fillId="13" borderId="0" xfId="0" applyFill="1"/>
    <xf numFmtId="0" fontId="12" fillId="13" borderId="0" xfId="0" applyFont="1" applyFill="1"/>
    <xf numFmtId="0" fontId="13" fillId="13" borderId="0" xfId="0" applyFont="1" applyFill="1"/>
    <xf numFmtId="1" fontId="0" fillId="13" borderId="0" xfId="0" applyNumberFormat="1" applyFill="1"/>
    <xf numFmtId="9" fontId="0" fillId="13" borderId="2" xfId="4" applyFont="1" applyFill="1" applyBorder="1"/>
    <xf numFmtId="1" fontId="0" fillId="13" borderId="3" xfId="0" applyNumberFormat="1" applyFill="1" applyBorder="1"/>
    <xf numFmtId="172" fontId="0" fillId="13" borderId="0" xfId="0" applyNumberFormat="1" applyFill="1"/>
    <xf numFmtId="0" fontId="1" fillId="13" borderId="0" xfId="0" applyFont="1" applyFill="1"/>
    <xf numFmtId="1" fontId="0" fillId="13" borderId="2" xfId="0" applyNumberFormat="1" applyFill="1" applyBorder="1"/>
    <xf numFmtId="0" fontId="0" fillId="14" borderId="0" xfId="0" applyFill="1"/>
    <xf numFmtId="165" fontId="12" fillId="13" borderId="3" xfId="0" applyNumberFormat="1" applyFont="1" applyFill="1" applyBorder="1"/>
    <xf numFmtId="173" fontId="0" fillId="0" borderId="0" xfId="0" applyNumberFormat="1"/>
    <xf numFmtId="0" fontId="15" fillId="0" borderId="0" xfId="6" applyFont="1" applyProtection="1"/>
    <xf numFmtId="0" fontId="9" fillId="8" borderId="0" xfId="0" applyFont="1" applyFill="1"/>
    <xf numFmtId="9" fontId="0" fillId="8" borderId="0" xfId="4" applyFont="1" applyFill="1"/>
    <xf numFmtId="43" fontId="0" fillId="10" borderId="0" xfId="0" applyNumberFormat="1" applyFill="1"/>
    <xf numFmtId="173" fontId="0" fillId="10" borderId="0" xfId="0" applyNumberFormat="1" applyFill="1"/>
    <xf numFmtId="0" fontId="1" fillId="0" borderId="0" xfId="0" applyFont="1" applyAlignment="1">
      <alignment vertical="center" wrapText="1"/>
    </xf>
    <xf numFmtId="10" fontId="0" fillId="0" borderId="0" xfId="0" applyNumberFormat="1"/>
    <xf numFmtId="0" fontId="4" fillId="0" borderId="0" xfId="2" applyAlignment="1" applyProtection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10" fontId="0" fillId="0" borderId="2" xfId="0" applyNumberFormat="1" applyBorder="1" applyAlignment="1">
      <alignment horizontal="center"/>
    </xf>
    <xf numFmtId="0" fontId="20" fillId="7" borderId="2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10" fontId="0" fillId="0" borderId="0" xfId="4" applyNumberFormat="1" applyFont="1"/>
    <xf numFmtId="0" fontId="19" fillId="0" borderId="2" xfId="0" applyFont="1" applyBorder="1" applyAlignment="1">
      <alignment horizontal="center"/>
    </xf>
    <xf numFmtId="10" fontId="0" fillId="0" borderId="2" xfId="4" applyNumberFormat="1" applyFont="1" applyBorder="1" applyAlignment="1">
      <alignment horizontal="center"/>
    </xf>
    <xf numFmtId="9" fontId="0" fillId="0" borderId="2" xfId="4" applyFont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10" fontId="0" fillId="15" borderId="2" xfId="0" applyNumberFormat="1" applyFill="1" applyBorder="1" applyAlignment="1">
      <alignment horizontal="center" vertical="center" wrapText="1"/>
    </xf>
    <xf numFmtId="167" fontId="0" fillId="13" borderId="3" xfId="0" applyNumberFormat="1" applyFill="1" applyBorder="1"/>
    <xf numFmtId="0" fontId="4" fillId="0" borderId="0" xfId="2" applyBorder="1" applyAlignment="1" applyProtection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175" fontId="0" fillId="14" borderId="1" xfId="5" applyNumberFormat="1" applyFont="1" applyFill="1" applyBorder="1"/>
    <xf numFmtId="0" fontId="0" fillId="13" borderId="0" xfId="0" applyFill="1" applyAlignment="1">
      <alignment horizontal="center"/>
    </xf>
    <xf numFmtId="1" fontId="0" fillId="13" borderId="0" xfId="0" applyNumberFormat="1" applyFill="1" applyAlignment="1">
      <alignment horizontal="center"/>
    </xf>
    <xf numFmtId="9" fontId="0" fillId="13" borderId="2" xfId="4" applyFont="1" applyFill="1" applyBorder="1" applyAlignment="1">
      <alignment horizontal="center"/>
    </xf>
    <xf numFmtId="1" fontId="0" fillId="13" borderId="2" xfId="0" applyNumberFormat="1" applyFill="1" applyBorder="1" applyAlignment="1">
      <alignment horizontal="center"/>
    </xf>
    <xf numFmtId="173" fontId="0" fillId="0" borderId="2" xfId="0" applyNumberFormat="1" applyBorder="1" applyAlignment="1">
      <alignment horizontal="center"/>
    </xf>
    <xf numFmtId="165" fontId="12" fillId="13" borderId="2" xfId="0" applyNumberFormat="1" applyFont="1" applyFill="1" applyBorder="1" applyAlignment="1">
      <alignment horizontal="center"/>
    </xf>
    <xf numFmtId="3" fontId="10" fillId="12" borderId="0" xfId="0" applyNumberFormat="1" applyFont="1" applyFill="1" applyAlignment="1">
      <alignment horizontal="right" vertical="center" wrapText="1"/>
    </xf>
    <xf numFmtId="165" fontId="12" fillId="13" borderId="0" xfId="0" applyNumberFormat="1" applyFont="1" applyFill="1" applyAlignment="1">
      <alignment horizontal="center"/>
    </xf>
    <xf numFmtId="173" fontId="0" fillId="0" borderId="0" xfId="0" applyNumberFormat="1" applyAlignment="1">
      <alignment horizontal="center"/>
    </xf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24" fillId="0" borderId="2" xfId="0" applyFont="1" applyBorder="1" applyAlignment="1">
      <alignment horizontal="center"/>
    </xf>
    <xf numFmtId="14" fontId="0" fillId="0" borderId="0" xfId="0" applyNumberFormat="1"/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/>
    <xf numFmtId="175" fontId="24" fillId="0" borderId="2" xfId="0" applyNumberFormat="1" applyFont="1" applyBorder="1" applyAlignment="1">
      <alignment horizontal="center"/>
    </xf>
    <xf numFmtId="175" fontId="24" fillId="0" borderId="2" xfId="5" applyNumberFormat="1" applyFont="1" applyBorder="1" applyAlignment="1">
      <alignment horizontal="center"/>
    </xf>
    <xf numFmtId="175" fontId="23" fillId="0" borderId="2" xfId="0" applyNumberFormat="1" applyFont="1" applyBorder="1" applyAlignment="1">
      <alignment horizontal="center"/>
    </xf>
    <xf numFmtId="175" fontId="0" fillId="0" borderId="0" xfId="0" applyNumberFormat="1"/>
    <xf numFmtId="0" fontId="0" fillId="13" borderId="2" xfId="0" applyFill="1" applyBorder="1"/>
    <xf numFmtId="38" fontId="0" fillId="0" borderId="2" xfId="0" applyNumberFormat="1" applyBorder="1"/>
    <xf numFmtId="38" fontId="0" fillId="13" borderId="2" xfId="0" applyNumberFormat="1" applyFill="1" applyBorder="1"/>
    <xf numFmtId="1" fontId="0" fillId="0" borderId="2" xfId="0" applyNumberFormat="1" applyBorder="1"/>
    <xf numFmtId="0" fontId="1" fillId="7" borderId="0" xfId="0" applyFont="1" applyFill="1"/>
    <xf numFmtId="167" fontId="1" fillId="7" borderId="0" xfId="0" applyNumberFormat="1" applyFont="1" applyFill="1"/>
    <xf numFmtId="3" fontId="26" fillId="0" borderId="2" xfId="0" applyNumberFormat="1" applyFont="1" applyBorder="1" applyAlignment="1">
      <alignment horizontal="center" vertical="center" wrapText="1"/>
    </xf>
    <xf numFmtId="175" fontId="0" fillId="0" borderId="2" xfId="0" applyNumberFormat="1" applyBorder="1"/>
    <xf numFmtId="38" fontId="0" fillId="6" borderId="2" xfId="0" applyNumberFormat="1" applyFill="1" applyBorder="1"/>
    <xf numFmtId="0" fontId="0" fillId="0" borderId="13" xfId="0" applyBorder="1"/>
    <xf numFmtId="0" fontId="0" fillId="0" borderId="8" xfId="0" applyBorder="1"/>
    <xf numFmtId="175" fontId="0" fillId="0" borderId="15" xfId="0" applyNumberFormat="1" applyBorder="1"/>
    <xf numFmtId="175" fontId="27" fillId="0" borderId="0" xfId="0" applyNumberFormat="1" applyFont="1" applyAlignment="1">
      <alignment horizontal="center"/>
    </xf>
    <xf numFmtId="0" fontId="0" fillId="0" borderId="15" xfId="0" applyBorder="1"/>
    <xf numFmtId="0" fontId="4" fillId="0" borderId="7" xfId="2" applyBorder="1" applyAlignment="1" applyProtection="1">
      <alignment horizontal="center" vertical="center" wrapText="1"/>
    </xf>
    <xf numFmtId="0" fontId="0" fillId="0" borderId="18" xfId="0" applyBorder="1"/>
    <xf numFmtId="0" fontId="0" fillId="0" borderId="15" xfId="0" applyBorder="1" applyAlignment="1">
      <alignment horizontal="center"/>
    </xf>
    <xf numFmtId="0" fontId="0" fillId="18" borderId="15" xfId="0" applyFill="1" applyBorder="1" applyAlignment="1">
      <alignment horizontal="center"/>
    </xf>
    <xf numFmtId="9" fontId="0" fillId="18" borderId="14" xfId="0" applyNumberFormat="1" applyFill="1" applyBorder="1" applyAlignment="1">
      <alignment horizontal="center"/>
    </xf>
    <xf numFmtId="9" fontId="0" fillId="18" borderId="15" xfId="0" applyNumberFormat="1" applyFill="1" applyBorder="1" applyAlignment="1">
      <alignment horizontal="center"/>
    </xf>
    <xf numFmtId="10" fontId="0" fillId="18" borderId="15" xfId="0" applyNumberFormat="1" applyFill="1" applyBorder="1" applyAlignment="1">
      <alignment horizontal="center"/>
    </xf>
    <xf numFmtId="10" fontId="0" fillId="18" borderId="17" xfId="0" applyNumberFormat="1" applyFill="1" applyBorder="1" applyAlignment="1">
      <alignment horizontal="center"/>
    </xf>
    <xf numFmtId="0" fontId="1" fillId="0" borderId="15" xfId="0" applyFont="1" applyBorder="1" applyAlignment="1">
      <alignment vertical="center" wrapText="1"/>
    </xf>
    <xf numFmtId="10" fontId="0" fillId="0" borderId="15" xfId="0" applyNumberFormat="1" applyBorder="1" applyAlignment="1">
      <alignment vertical="center" wrapText="1"/>
    </xf>
    <xf numFmtId="0" fontId="1" fillId="19" borderId="1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 indent="1"/>
    </xf>
    <xf numFmtId="175" fontId="0" fillId="13" borderId="2" xfId="0" applyNumberFormat="1" applyFill="1" applyBorder="1"/>
    <xf numFmtId="0" fontId="18" fillId="0" borderId="0" xfId="0" applyFont="1" applyAlignment="1">
      <alignment horizontal="left" vertical="center" wrapText="1" indent="1"/>
    </xf>
    <xf numFmtId="0" fontId="28" fillId="0" borderId="15" xfId="0" applyFont="1" applyBorder="1" applyAlignment="1">
      <alignment horizontal="center" vertical="center" wrapText="1"/>
    </xf>
    <xf numFmtId="10" fontId="0" fillId="0" borderId="15" xfId="0" applyNumberFormat="1" applyBorder="1"/>
    <xf numFmtId="176" fontId="0" fillId="0" borderId="15" xfId="0" applyNumberFormat="1" applyBorder="1"/>
    <xf numFmtId="175" fontId="29" fillId="0" borderId="0" xfId="0" applyNumberFormat="1" applyFont="1"/>
    <xf numFmtId="0" fontId="29" fillId="0" borderId="0" xfId="0" applyFont="1"/>
    <xf numFmtId="10" fontId="30" fillId="17" borderId="15" xfId="0" applyNumberFormat="1" applyFont="1" applyFill="1" applyBorder="1" applyAlignment="1">
      <alignment horizontal="center" vertical="center"/>
    </xf>
    <xf numFmtId="175" fontId="29" fillId="0" borderId="15" xfId="0" applyNumberFormat="1" applyFont="1" applyBorder="1" applyAlignment="1">
      <alignment vertical="center"/>
    </xf>
    <xf numFmtId="176" fontId="30" fillId="0" borderId="15" xfId="5" applyNumberFormat="1" applyFont="1" applyBorder="1" applyAlignment="1">
      <alignment horizontal="center" vertical="center"/>
    </xf>
    <xf numFmtId="176" fontId="30" fillId="0" borderId="15" xfId="5" applyNumberFormat="1" applyFont="1" applyBorder="1" applyAlignment="1">
      <alignment vertical="center"/>
    </xf>
    <xf numFmtId="0" fontId="32" fillId="0" borderId="15" xfId="0" applyFont="1" applyBorder="1" applyAlignment="1">
      <alignment horizontal="left"/>
    </xf>
    <xf numFmtId="175" fontId="32" fillId="0" borderId="15" xfId="5" applyNumberFormat="1" applyFont="1" applyBorder="1" applyAlignment="1">
      <alignment horizontal="center"/>
    </xf>
    <xf numFmtId="9" fontId="32" fillId="0" borderId="15" xfId="0" applyNumberFormat="1" applyFont="1" applyBorder="1" applyAlignment="1">
      <alignment horizontal="right"/>
    </xf>
    <xf numFmtId="2" fontId="32" fillId="0" borderId="15" xfId="0" applyNumberFormat="1" applyFont="1" applyBorder="1" applyAlignment="1">
      <alignment horizontal="right"/>
    </xf>
    <xf numFmtId="10" fontId="32" fillId="0" borderId="15" xfId="0" applyNumberFormat="1" applyFont="1" applyBorder="1" applyAlignment="1">
      <alignment horizontal="right"/>
    </xf>
    <xf numFmtId="9" fontId="32" fillId="0" borderId="15" xfId="4" applyFont="1" applyBorder="1" applyAlignment="1">
      <alignment horizontal="right"/>
    </xf>
    <xf numFmtId="0" fontId="33" fillId="14" borderId="15" xfId="0" applyFont="1" applyFill="1" applyBorder="1" applyAlignment="1">
      <alignment horizontal="center"/>
    </xf>
    <xf numFmtId="9" fontId="33" fillId="14" borderId="15" xfId="4" applyFont="1" applyFill="1" applyBorder="1" applyAlignment="1">
      <alignment horizontal="center"/>
    </xf>
    <xf numFmtId="0" fontId="32" fillId="16" borderId="15" xfId="0" applyFont="1" applyFill="1" applyBorder="1" applyAlignment="1">
      <alignment horizontal="center"/>
    </xf>
    <xf numFmtId="0" fontId="1" fillId="16" borderId="15" xfId="0" applyFont="1" applyFill="1" applyBorder="1" applyAlignment="1">
      <alignment horizontal="center" vertical="center" wrapText="1"/>
    </xf>
    <xf numFmtId="0" fontId="1" fillId="16" borderId="15" xfId="0" applyFont="1" applyFill="1" applyBorder="1" applyAlignment="1">
      <alignment horizontal="center"/>
    </xf>
    <xf numFmtId="10" fontId="0" fillId="16" borderId="0" xfId="0" applyNumberFormat="1" applyFill="1"/>
    <xf numFmtId="174" fontId="0" fillId="16" borderId="0" xfId="0" applyNumberFormat="1" applyFill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9" fillId="0" borderId="12" xfId="0" applyFont="1" applyBorder="1" applyAlignment="1">
      <alignment horizontal="center" vertical="center"/>
    </xf>
  </cellXfs>
  <cellStyles count="8">
    <cellStyle name="_x000a_386grabber=M" xfId="7" xr:uid="{83EC0480-55FA-4149-ABD4-88AFD4A92B62}"/>
    <cellStyle name="Accent6" xfId="3" builtinId="49"/>
    <cellStyle name="AFE" xfId="6" xr:uid="{80329C94-791B-4D09-902E-BE4EAB81C5D2}"/>
    <cellStyle name="Comma" xfId="1" builtinId="3"/>
    <cellStyle name="Currency" xfId="5" builtinId="4"/>
    <cellStyle name="Hyperlink" xfId="2" builtinId="8"/>
    <cellStyle name="Normal" xfId="0" builtinId="0"/>
    <cellStyle name="Percent" xfId="4" builtinId="5"/>
  </cellStyles>
  <dxfs count="136">
    <dxf>
      <font>
        <b/>
        <i val="0"/>
        <color theme="0"/>
      </font>
      <fill>
        <patternFill>
          <bgColor theme="5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AFDC7E"/>
        </patternFill>
      </fill>
    </dxf>
    <dxf>
      <fill>
        <patternFill>
          <bgColor rgb="FFFFC7CE"/>
        </patternFill>
      </fill>
    </dxf>
    <dxf>
      <fill>
        <patternFill>
          <bgColor rgb="FFABDB77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EBF6DE"/>
        </patternFill>
      </fill>
    </dxf>
    <dxf>
      <font>
        <color auto="1"/>
      </font>
      <fill>
        <patternFill>
          <bgColor rgb="FFFFE7E7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EFEF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FFEFEF"/>
        </patternFill>
      </fill>
    </dxf>
    <dxf>
      <font>
        <color auto="1"/>
      </font>
      <fill>
        <patternFill>
          <bgColor rgb="FFEBF9EE"/>
        </patternFill>
      </fill>
    </dxf>
    <dxf>
      <fill>
        <patternFill>
          <bgColor rgb="FFFFEFF1"/>
        </patternFill>
      </fill>
    </dxf>
    <dxf>
      <fill>
        <patternFill>
          <bgColor rgb="FFF2F9EB"/>
        </patternFill>
      </fill>
    </dxf>
    <dxf>
      <fill>
        <patternFill>
          <bgColor rgb="FFF0F9E7"/>
        </patternFill>
      </fill>
    </dxf>
    <dxf>
      <fill>
        <patternFill>
          <bgColor rgb="FFFFF7F8"/>
        </patternFill>
      </fill>
    </dxf>
    <dxf>
      <fill>
        <patternFill>
          <bgColor rgb="FFEDF7E1"/>
        </patternFill>
      </fill>
    </dxf>
    <dxf>
      <fill>
        <patternFill>
          <bgColor rgb="FFFFF3F4"/>
        </patternFill>
      </fill>
    </dxf>
    <dxf>
      <font>
        <color auto="1"/>
      </font>
      <fill>
        <patternFill>
          <bgColor rgb="FFFFEFEF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E7E7"/>
        </patternFill>
      </fill>
    </dxf>
    <dxf>
      <font>
        <color auto="1"/>
      </font>
      <fill>
        <patternFill>
          <bgColor rgb="FFEBF6D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EFEF"/>
        </patternFill>
      </fill>
    </dxf>
    <dxf>
      <fill>
        <patternFill>
          <bgColor rgb="FFEEF8E4"/>
        </patternFill>
      </fill>
    </dxf>
    <dxf>
      <fill>
        <patternFill>
          <bgColor rgb="FFFFEBED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EFEF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AFDC7E"/>
        </patternFill>
      </fill>
    </dxf>
    <dxf>
      <fill>
        <patternFill>
          <bgColor rgb="FFFFC7CE"/>
        </patternFill>
      </fill>
    </dxf>
    <dxf>
      <fill>
        <patternFill>
          <bgColor rgb="FFABDB77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E7E7"/>
        </patternFill>
      </fill>
    </dxf>
    <dxf>
      <font>
        <color auto="1"/>
      </font>
      <fill>
        <patternFill>
          <bgColor rgb="FFEBF6DE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FFEFEF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EFEF"/>
        </patternFill>
      </fill>
    </dxf>
    <dxf>
      <fill>
        <patternFill>
          <bgColor rgb="FFFFEFF1"/>
        </patternFill>
      </fill>
    </dxf>
    <dxf>
      <fill>
        <patternFill>
          <bgColor rgb="FFF2F9EB"/>
        </patternFill>
      </fill>
    </dxf>
    <dxf>
      <fill>
        <patternFill>
          <bgColor rgb="FFFFF7F8"/>
        </patternFill>
      </fill>
    </dxf>
    <dxf>
      <fill>
        <patternFill>
          <bgColor rgb="FFF0F9E7"/>
        </patternFill>
      </fill>
    </dxf>
    <dxf>
      <fill>
        <patternFill>
          <bgColor rgb="FFFFF3F4"/>
        </patternFill>
      </fill>
    </dxf>
    <dxf>
      <fill>
        <patternFill>
          <bgColor rgb="FFEDF7E1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FEFEF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E7E7"/>
        </patternFill>
      </fill>
    </dxf>
    <dxf>
      <font>
        <color auto="1"/>
      </font>
      <fill>
        <patternFill>
          <bgColor rgb="FFEBF6D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FEFEF"/>
        </patternFill>
      </fill>
    </dxf>
    <dxf>
      <fill>
        <patternFill>
          <bgColor rgb="FFFFEBED"/>
        </patternFill>
      </fill>
    </dxf>
    <dxf>
      <fill>
        <patternFill>
          <bgColor rgb="FFEEF8E4"/>
        </patternFill>
      </fill>
    </dxf>
    <dxf>
      <font>
        <color auto="1"/>
      </font>
      <fill>
        <patternFill>
          <bgColor rgb="FFFFEFEF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EBF9EE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  <dxf>
      <font>
        <color auto="1"/>
      </font>
      <fill>
        <patternFill>
          <bgColor rgb="FFFDF0E9"/>
        </patternFill>
      </fill>
    </dxf>
    <dxf>
      <font>
        <color auto="1"/>
      </font>
      <fill>
        <patternFill>
          <bgColor rgb="FFE4F8E8"/>
        </patternFill>
      </fill>
    </dxf>
  </dxfs>
  <tableStyles count="0" defaultTableStyle="TableStyleMedium9" defaultPivotStyle="PivotStyleLight16"/>
  <colors>
    <mruColors>
      <color rgb="FFFF2F2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121920</xdr:colOff>
      <xdr:row>14</xdr:row>
      <xdr:rowOff>182493</xdr:rowOff>
    </xdr:from>
    <xdr:to>
      <xdr:col>27</xdr:col>
      <xdr:colOff>586747</xdr:colOff>
      <xdr:row>28</xdr:row>
      <xdr:rowOff>177555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4A6A3-F58D-1FC2-42C7-6ADDE47D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54840" y="2803773"/>
          <a:ext cx="12550148" cy="2555382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42"/>
  <sheetViews>
    <sheetView topLeftCell="L1" zoomScale="75" workbookViewId="0">
      <pane ySplit="2" topLeftCell="A3" activePane="bottomLeft" state="frozen"/>
      <selection pane="bottomLeft" activeCell="B140" sqref="B140"/>
    </sheetView>
  </sheetViews>
  <sheetFormatPr defaultColWidth="9.109375" defaultRowHeight="14.4" x14ac:dyDescent="0.3"/>
  <cols>
    <col min="1" max="1" width="39.109375" bestFit="1" customWidth="1"/>
    <col min="2" max="2" width="12.77734375" bestFit="1" customWidth="1"/>
    <col min="3" max="4" width="10.5546875" customWidth="1"/>
    <col min="5" max="5" width="28.44140625" customWidth="1"/>
    <col min="6" max="6" width="21.44140625" customWidth="1"/>
    <col min="7" max="7" width="18.109375" customWidth="1"/>
    <col min="8" max="11" width="10.5546875" customWidth="1"/>
    <col min="12" max="12" width="26.5546875" customWidth="1"/>
    <col min="13" max="13" width="22.6640625" customWidth="1"/>
    <col min="14" max="14" width="25.77734375" customWidth="1"/>
    <col min="15" max="17" width="26.33203125" customWidth="1"/>
    <col min="18" max="18" width="35.5546875" customWidth="1"/>
    <col min="19" max="20" width="26.33203125" customWidth="1"/>
    <col min="21" max="21" width="20.44140625" bestFit="1" customWidth="1"/>
  </cols>
  <sheetData>
    <row r="1" spans="1:25" x14ac:dyDescent="0.3">
      <c r="A1" s="2" t="s">
        <v>59</v>
      </c>
      <c r="D1" s="2" t="str">
        <f>+'Tata-input'!B1</f>
        <v>TATA COMMUNICATIONS LTD</v>
      </c>
      <c r="L1" s="10">
        <f>+'Tata-input'!K41</f>
        <v>45657</v>
      </c>
      <c r="M1" t="s">
        <v>60</v>
      </c>
      <c r="Q1" s="11"/>
      <c r="R1" s="12"/>
    </row>
    <row r="2" spans="1:25" s="2" customFormat="1" ht="28.8" x14ac:dyDescent="0.3">
      <c r="A2" s="13" t="s">
        <v>1</v>
      </c>
      <c r="B2" s="14">
        <f>+'Tata-input'!B16</f>
        <v>42094</v>
      </c>
      <c r="C2" s="14">
        <f>+'Tata-input'!C16</f>
        <v>42460</v>
      </c>
      <c r="D2" s="14">
        <f>+'Tata-input'!D16</f>
        <v>42825</v>
      </c>
      <c r="E2" s="14">
        <f>+'Tata-input'!E16</f>
        <v>43190</v>
      </c>
      <c r="F2" s="14">
        <f>+'Tata-input'!F16</f>
        <v>43555</v>
      </c>
      <c r="G2" s="14">
        <f>+'Tata-input'!G16</f>
        <v>43921</v>
      </c>
      <c r="H2" s="14">
        <f>+'Tata-input'!H16</f>
        <v>44286</v>
      </c>
      <c r="I2" s="14">
        <f>+'Tata-input'!I16</f>
        <v>44651</v>
      </c>
      <c r="J2" s="14">
        <f>+'Tata-input'!J16</f>
        <v>45016</v>
      </c>
      <c r="K2" s="14">
        <f>+'Tata-input'!K16</f>
        <v>45382</v>
      </c>
      <c r="L2" s="15" t="s">
        <v>61</v>
      </c>
      <c r="M2" s="15" t="s">
        <v>62</v>
      </c>
      <c r="N2" s="52" t="s">
        <v>13</v>
      </c>
      <c r="O2" s="52" t="s">
        <v>63</v>
      </c>
      <c r="P2" s="52" t="s">
        <v>64</v>
      </c>
      <c r="Q2" s="52" t="s">
        <v>65</v>
      </c>
      <c r="R2" s="52" t="s">
        <v>66</v>
      </c>
      <c r="S2" s="52" t="s">
        <v>67</v>
      </c>
    </row>
    <row r="3" spans="1:25" s="2" customFormat="1" x14ac:dyDescent="0.3">
      <c r="A3" t="s">
        <v>2</v>
      </c>
      <c r="B3" s="17">
        <f>+'Tata-input'!B17</f>
        <v>19913.34</v>
      </c>
      <c r="C3" s="17">
        <f>+'Tata-input'!C17</f>
        <v>18148.580000000002</v>
      </c>
      <c r="D3" s="17">
        <f>+'Tata-input'!D17</f>
        <v>17619.73</v>
      </c>
      <c r="E3" s="17">
        <f>+'Tata-input'!E17</f>
        <v>16771.689999999999</v>
      </c>
      <c r="F3" s="17">
        <f>+'Tata-input'!F17</f>
        <v>16524.95</v>
      </c>
      <c r="G3" s="17">
        <f>+'Tata-input'!G17</f>
        <v>17067.990000000002</v>
      </c>
      <c r="H3" s="17">
        <f>+'Tata-input'!H17</f>
        <v>17100.099999999999</v>
      </c>
      <c r="I3" s="17">
        <f>+'Tata-input'!I17</f>
        <v>16724.73</v>
      </c>
      <c r="J3" s="17">
        <f>+'Tata-input'!J17</f>
        <v>17838.259999999998</v>
      </c>
      <c r="K3" s="17">
        <f>+'Tata-input'!K17</f>
        <v>20968.82</v>
      </c>
      <c r="L3" s="17">
        <f>IF(N66=TRUE,"",SUM('Tata-input'!H42:K42))</f>
        <v>22850.989999999998</v>
      </c>
      <c r="M3" s="18"/>
      <c r="N3" s="53" t="s">
        <v>14</v>
      </c>
      <c r="O3" s="54">
        <f>IF(B3=0,"",POWER($K3/B3,1/9)-1)</f>
        <v>5.7550205973742052E-3</v>
      </c>
      <c r="P3" s="54">
        <f>IF(D3=0,"",POWER($K3/D3,1/7)-1)</f>
        <v>2.5171187454491317E-2</v>
      </c>
      <c r="Q3" s="54">
        <f>IF(F3=0,"",POWER($K3/F3,1/5)-1)</f>
        <v>4.8785724904701677E-2</v>
      </c>
      <c r="R3" s="54">
        <f>IF(H3=0,"",POWER($K3/H3, 1/3)-1)</f>
        <v>7.0348275899237978E-2</v>
      </c>
      <c r="S3" s="54">
        <f>IF(N66=TRUE,"",L3/K3-1)</f>
        <v>8.9760415702934138E-2</v>
      </c>
      <c r="T3" s="19"/>
      <c r="U3" s="19"/>
      <c r="V3" s="19"/>
      <c r="W3" s="19"/>
      <c r="X3" s="19"/>
      <c r="Y3" s="19"/>
    </row>
    <row r="4" spans="1:25" x14ac:dyDescent="0.3">
      <c r="A4" t="s">
        <v>4</v>
      </c>
      <c r="B4" s="21">
        <f>+'Tata-input'!B17-'Tata-input'!B18+'Tata-input'!B19-SUM('Tata-input'!B20:B24)</f>
        <v>2994.0499999999993</v>
      </c>
      <c r="C4" s="21">
        <f>+'Tata-input'!C17-'Tata-input'!C18+'Tata-input'!C19-SUM('Tata-input'!C20:C24)</f>
        <v>2434.2400000000016</v>
      </c>
      <c r="D4" s="21">
        <f>+'Tata-input'!D17-'Tata-input'!D18+'Tata-input'!D19-SUM('Tata-input'!D20:D24)</f>
        <v>2405.8999999999996</v>
      </c>
      <c r="E4" s="21">
        <f>+'Tata-input'!E17-'Tata-input'!E18+'Tata-input'!E19-SUM('Tata-input'!E20:E24)</f>
        <v>2412.2199999999975</v>
      </c>
      <c r="F4" s="21">
        <f>+'Tata-input'!F17-'Tata-input'!F18+'Tata-input'!F19-SUM('Tata-input'!F20:F24)</f>
        <v>2744.8500000000004</v>
      </c>
      <c r="G4" s="21">
        <f>+'Tata-input'!G17-'Tata-input'!G18+'Tata-input'!G19-SUM('Tata-input'!G20:G24)</f>
        <v>3288.9500000000025</v>
      </c>
      <c r="H4" s="21">
        <f>+'Tata-input'!H17-'Tata-input'!H18+'Tata-input'!H19-SUM('Tata-input'!H20:H24)</f>
        <v>4260.5799999999963</v>
      </c>
      <c r="I4" s="21">
        <f>+'Tata-input'!I17-'Tata-input'!I18+'Tata-input'!I19-SUM('Tata-input'!I20:I24)</f>
        <v>4226.7200000000012</v>
      </c>
      <c r="J4" s="21">
        <f>+'Tata-input'!J17-'Tata-input'!J18+'Tata-input'!J19-SUM('Tata-input'!J20:J24)</f>
        <v>4318.2299999999996</v>
      </c>
      <c r="K4" s="21">
        <f>+'Tata-input'!K17-'Tata-input'!K18+'Tata-input'!K19-SUM('Tata-input'!K20:K24)</f>
        <v>4230.0999999999985</v>
      </c>
      <c r="L4" s="21">
        <f>+IF(N66=TRUE,"",SUM('Tata-input'!H50:K50))</f>
        <v>4490.84</v>
      </c>
      <c r="M4" s="18"/>
      <c r="N4" s="53" t="s">
        <v>12</v>
      </c>
      <c r="O4" s="54">
        <f>IF(SUM(B3:$K$3)=0,"",SUMPRODUCT(B5:$K$5,B3:$K$3)/SUM(B3:$K$3))</f>
        <v>0.1864572279358773</v>
      </c>
      <c r="P4" s="54">
        <f>IF(SUM(E3:$K$3)=0,"",SUMPRODUCT(E5:$K$5,E3:$K$3)/SUM(E3:$K$3))</f>
        <v>0.20717371399227974</v>
      </c>
      <c r="Q4" s="54">
        <f>IF(SUM(G3:$K$3)=0,"",SUMPRODUCT(G5:$K$5,G3:$K$3)/SUM(G3:$K$3))</f>
        <v>0.22658419909052294</v>
      </c>
      <c r="R4" s="54">
        <f>IF(SUM(I3:$K$3)=0, "", SUMPRODUCT(I5:$K$5,I3:$K$3)/SUM(I3:$K$3))</f>
        <v>0.23004922764087826</v>
      </c>
      <c r="S4" s="55">
        <f>IF(N66=TRUE,"",L5)</f>
        <v>0.19652715265290477</v>
      </c>
      <c r="T4" s="19"/>
      <c r="U4" s="23"/>
      <c r="V4" s="23"/>
      <c r="W4" s="23"/>
      <c r="X4" s="23"/>
      <c r="Y4" s="23"/>
    </row>
    <row r="5" spans="1:25" s="2" customFormat="1" x14ac:dyDescent="0.3">
      <c r="A5" s="2" t="s">
        <v>68</v>
      </c>
      <c r="B5" s="24">
        <f t="shared" ref="B5:K5" si="0">IF(B4&gt;0,B4/B3,0)</f>
        <v>0.15035398381185675</v>
      </c>
      <c r="C5" s="24">
        <f t="shared" si="0"/>
        <v>0.13412840012827457</v>
      </c>
      <c r="D5" s="24">
        <f t="shared" si="0"/>
        <v>0.13654579269943409</v>
      </c>
      <c r="E5" s="24">
        <f t="shared" si="0"/>
        <v>0.14382688924014203</v>
      </c>
      <c r="F5" s="24">
        <f t="shared" si="0"/>
        <v>0.1661033770147565</v>
      </c>
      <c r="G5" s="24">
        <f t="shared" si="0"/>
        <v>0.19269697251990434</v>
      </c>
      <c r="H5" s="24">
        <f t="shared" si="0"/>
        <v>0.24915526809784719</v>
      </c>
      <c r="I5" s="24">
        <f t="shared" si="0"/>
        <v>0.25272276443326747</v>
      </c>
      <c r="J5" s="24">
        <f t="shared" si="0"/>
        <v>0.24207686175669599</v>
      </c>
      <c r="K5" s="24">
        <f t="shared" si="0"/>
        <v>0.20173285859671639</v>
      </c>
      <c r="L5" s="24">
        <f>+IF(N66=TRUE,"",IF(L4&gt;0,L4/L3,0))</f>
        <v>0.19652715265290477</v>
      </c>
      <c r="M5" s="18"/>
      <c r="N5" s="53" t="s">
        <v>69</v>
      </c>
      <c r="O5" s="54">
        <f>IF(B13=0,"",POWER($K13/B13,1/9)-1)</f>
        <v>1.0868591076865894</v>
      </c>
      <c r="P5" s="54">
        <f>IF(D13=0,"",POWER($K13/D13,1/7)-1)</f>
        <v>-3.3913978705918391E-2</v>
      </c>
      <c r="Q5" s="54">
        <f>IF(F13=0,"",POWER($K13/F13,1/5)-1)</f>
        <v>-2.6370116163168542</v>
      </c>
      <c r="R5" s="54">
        <f>IF(H13=0,"",POWER($K13/H13, 1/3)-1)</f>
        <v>-8.1738569310478404E-2</v>
      </c>
      <c r="S5" s="54">
        <f>+IF(N66=TRUE,"",L13/K13-1)</f>
        <v>0.15373732366730697</v>
      </c>
      <c r="T5" s="19"/>
      <c r="U5" s="19"/>
      <c r="V5" s="19"/>
      <c r="W5" s="19"/>
      <c r="X5" s="19"/>
      <c r="Y5" s="19"/>
    </row>
    <row r="6" spans="1:25" s="2" customFormat="1" x14ac:dyDescent="0.3">
      <c r="A6" t="s">
        <v>5</v>
      </c>
      <c r="B6" s="21">
        <f>+'Tata-input'!B25</f>
        <v>291.24</v>
      </c>
      <c r="C6" s="21">
        <f>+'Tata-input'!C25</f>
        <v>82.42</v>
      </c>
      <c r="D6" s="21">
        <f>+'Tata-input'!D25</f>
        <v>1293.82</v>
      </c>
      <c r="E6" s="21">
        <f>+'Tata-input'!E25</f>
        <v>-115.86</v>
      </c>
      <c r="F6" s="21">
        <f>+'Tata-input'!F25</f>
        <v>62.5</v>
      </c>
      <c r="G6" s="21">
        <f>+'Tata-input'!G25</f>
        <v>-320.83</v>
      </c>
      <c r="H6" s="21">
        <f>+'Tata-input'!H25</f>
        <v>82.04</v>
      </c>
      <c r="I6" s="21">
        <f>+'Tata-input'!I25</f>
        <v>338.05</v>
      </c>
      <c r="J6" s="21">
        <f>+'Tata-input'!J25</f>
        <v>439.5</v>
      </c>
      <c r="K6" s="21">
        <f>+'Tata-input'!K25</f>
        <v>46.81</v>
      </c>
      <c r="L6" s="21">
        <f>IF(N66=TRUE,"",+SUM('Tata-input'!H44:K44))</f>
        <v>139.20000000000002</v>
      </c>
      <c r="M6" s="18">
        <f>SUM(G6:K6)</f>
        <v>585.56999999999994</v>
      </c>
      <c r="N6" s="53" t="s">
        <v>70</v>
      </c>
      <c r="O6" s="56">
        <f>IF(ISERROR(AVERAGEIF(B44:$L44,"&gt;0")),"",AVERAGEIF(B44:$L44,"&gt;0"))</f>
        <v>961.84019733344269</v>
      </c>
      <c r="P6" s="56">
        <f>IF(ISERROR(AVERAGEIF(E44:$L44,"&gt;0")),"",AVERAGEIF(E44:$L44,"&gt;0"))</f>
        <v>31.696218488274162</v>
      </c>
      <c r="Q6" s="56">
        <f>IF(ISERROR(AVERAGEIF(G44:$L44,"&gt;0")),"",AVERAGEIF(G44:$L44,"&gt;0"))</f>
        <v>31.696218488274162</v>
      </c>
      <c r="R6" s="56">
        <f>IF(ISERROR(AVERAGEIF(I44:$L44,"&gt;0")),"",AVERAGEIF(I44:$L44,"&gt;0"))</f>
        <v>34.188413549427423</v>
      </c>
      <c r="S6" s="56">
        <f>IF(N66=TRUE,"",O10)</f>
        <v>34.50224219260479</v>
      </c>
      <c r="T6" s="19"/>
      <c r="U6" s="19"/>
      <c r="V6" s="19"/>
      <c r="W6" s="19"/>
      <c r="X6" s="19"/>
      <c r="Y6" s="19"/>
    </row>
    <row r="7" spans="1:25" x14ac:dyDescent="0.3">
      <c r="A7" t="s">
        <v>102</v>
      </c>
      <c r="B7" s="21">
        <f t="shared" ref="B7:K7" si="1">+SUM(B4+B6)</f>
        <v>3285.2899999999991</v>
      </c>
      <c r="C7" s="21">
        <f t="shared" si="1"/>
        <v>2516.6600000000017</v>
      </c>
      <c r="D7" s="21">
        <f t="shared" si="1"/>
        <v>3699.7199999999993</v>
      </c>
      <c r="E7" s="21">
        <f t="shared" si="1"/>
        <v>2296.3599999999974</v>
      </c>
      <c r="F7" s="21">
        <f t="shared" si="1"/>
        <v>2807.3500000000004</v>
      </c>
      <c r="G7" s="21">
        <f t="shared" si="1"/>
        <v>2968.1200000000026</v>
      </c>
      <c r="H7" s="21">
        <f t="shared" si="1"/>
        <v>4342.6199999999963</v>
      </c>
      <c r="I7" s="21">
        <f t="shared" si="1"/>
        <v>4564.7700000000013</v>
      </c>
      <c r="J7" s="21">
        <f t="shared" si="1"/>
        <v>4757.7299999999996</v>
      </c>
      <c r="K7" s="21">
        <f t="shared" si="1"/>
        <v>4276.9099999999989</v>
      </c>
      <c r="L7" s="21">
        <f>++IF(N66=TRUE,"",SUM(L4+L6))</f>
        <v>4630.04</v>
      </c>
      <c r="M7" s="18">
        <f>SUM(G7:K7)</f>
        <v>20910.149999999998</v>
      </c>
      <c r="T7" s="23"/>
      <c r="U7" s="23"/>
      <c r="V7" s="23"/>
      <c r="W7" s="23"/>
      <c r="X7" s="23"/>
      <c r="Y7" s="23"/>
    </row>
    <row r="8" spans="1:25" x14ac:dyDescent="0.3">
      <c r="A8" t="s">
        <v>7</v>
      </c>
      <c r="B8" s="21">
        <f>+'Tata-input'!B27</f>
        <v>750.79</v>
      </c>
      <c r="C8" s="21">
        <f>+'Tata-input'!C27</f>
        <v>409.06</v>
      </c>
      <c r="D8" s="21">
        <f>+'Tata-input'!D27</f>
        <v>367.19</v>
      </c>
      <c r="E8" s="21">
        <f>+'Tata-input'!E27</f>
        <v>344.45</v>
      </c>
      <c r="F8" s="21">
        <f>+'Tata-input'!F27</f>
        <v>396.55</v>
      </c>
      <c r="G8" s="21">
        <f>+'Tata-input'!G27</f>
        <v>470.74</v>
      </c>
      <c r="H8" s="21">
        <f>+'Tata-input'!H27</f>
        <v>420.2</v>
      </c>
      <c r="I8" s="21">
        <f>+'Tata-input'!I27</f>
        <v>360.25</v>
      </c>
      <c r="J8" s="21">
        <f>+'Tata-input'!J27</f>
        <v>432.46</v>
      </c>
      <c r="K8" s="21">
        <f>+'Tata-input'!K27</f>
        <v>644.15</v>
      </c>
      <c r="L8" s="21">
        <f>+IF(N66=TRUE,"",SUM('Tata-input'!H46:K46))</f>
        <v>736.67</v>
      </c>
      <c r="M8" s="18">
        <f>SUM(G8:K8)</f>
        <v>2327.8000000000002</v>
      </c>
      <c r="P8" s="26"/>
      <c r="Q8" s="26"/>
      <c r="R8" s="26"/>
      <c r="S8" s="26"/>
      <c r="T8" s="23"/>
      <c r="U8" s="23"/>
      <c r="V8" s="23"/>
      <c r="W8" s="23"/>
      <c r="X8" s="23"/>
      <c r="Y8" s="23"/>
    </row>
    <row r="9" spans="1:25" ht="15" customHeight="1" x14ac:dyDescent="0.3">
      <c r="A9" t="s">
        <v>6</v>
      </c>
      <c r="B9" s="21">
        <f>+'Tata-input'!B26</f>
        <v>2161.09</v>
      </c>
      <c r="C9" s="21">
        <f>+'Tata-input'!C26</f>
        <v>1864.29</v>
      </c>
      <c r="D9" s="21">
        <f>+'Tata-input'!D26</f>
        <v>1865.77</v>
      </c>
      <c r="E9" s="21">
        <f>+'Tata-input'!E26</f>
        <v>1906.3</v>
      </c>
      <c r="F9" s="21">
        <f>+'Tata-input'!F26</f>
        <v>2067.6</v>
      </c>
      <c r="G9" s="21">
        <f>+'Tata-input'!G26</f>
        <v>2357.7199999999998</v>
      </c>
      <c r="H9" s="21">
        <f>+'Tata-input'!H26</f>
        <v>2313.87</v>
      </c>
      <c r="I9" s="21">
        <f>+'Tata-input'!I26</f>
        <v>2204.54</v>
      </c>
      <c r="J9" s="21">
        <f>+'Tata-input'!J26</f>
        <v>2261.81</v>
      </c>
      <c r="K9" s="21">
        <f>+'Tata-input'!K26</f>
        <v>2469.67</v>
      </c>
      <c r="L9" s="21">
        <f>IF(N66=TRUE,"",+SUM('Tata-input'!H45:K45))</f>
        <v>2598.5099999999998</v>
      </c>
      <c r="M9" s="18">
        <f>SUM(G9:K9)</f>
        <v>11607.61</v>
      </c>
      <c r="N9" s="21" t="s">
        <v>71</v>
      </c>
      <c r="O9" s="17">
        <f>+'Tata-input'!B8</f>
        <v>1352.5</v>
      </c>
      <c r="P9" s="26"/>
      <c r="Q9" s="26"/>
      <c r="R9" s="26"/>
      <c r="S9" s="26"/>
      <c r="T9" s="23"/>
      <c r="U9" s="23"/>
      <c r="V9" s="23"/>
      <c r="W9" s="23"/>
      <c r="X9" s="23"/>
      <c r="Y9" s="23"/>
    </row>
    <row r="10" spans="1:25" ht="18" customHeight="1" x14ac:dyDescent="0.3">
      <c r="A10" t="s">
        <v>72</v>
      </c>
      <c r="B10" s="21">
        <f>+'Tata-input'!B28</f>
        <v>373.41</v>
      </c>
      <c r="C10" s="21">
        <f>+'Tata-input'!C28</f>
        <v>243.31</v>
      </c>
      <c r="D10" s="21">
        <f>+'Tata-input'!D28</f>
        <v>1466.76</v>
      </c>
      <c r="E10" s="21">
        <f>+'Tata-input'!E28</f>
        <v>45.61</v>
      </c>
      <c r="F10" s="21">
        <f>+'Tata-input'!F28</f>
        <v>343.2</v>
      </c>
      <c r="G10" s="21">
        <f>+'Tata-input'!G28</f>
        <v>139.66</v>
      </c>
      <c r="H10" s="21">
        <f>+'Tata-input'!H28</f>
        <v>1608.55</v>
      </c>
      <c r="I10" s="21">
        <f>+'Tata-input'!I28</f>
        <v>1999.98</v>
      </c>
      <c r="J10" s="21">
        <f>+'Tata-input'!J28</f>
        <v>2063.46</v>
      </c>
      <c r="K10" s="21">
        <f>+'Tata-input'!K28</f>
        <v>1163.0899999999999</v>
      </c>
      <c r="L10" s="27">
        <f>IF(N66=TRUE,"",+SUM('Tata-input'!H47:K47))</f>
        <v>1294.8599999999999</v>
      </c>
      <c r="M10" s="17"/>
      <c r="N10" s="2" t="s">
        <v>73</v>
      </c>
      <c r="O10" s="28">
        <f>IF(N66=TRUE,O15/K13,O15/L13)</f>
        <v>34.50224219260479</v>
      </c>
      <c r="P10" s="26"/>
      <c r="Q10" s="26"/>
      <c r="R10" s="26"/>
      <c r="S10" s="26"/>
      <c r="T10" s="23"/>
      <c r="U10" s="23"/>
      <c r="V10" s="23"/>
      <c r="W10" s="23"/>
      <c r="X10" s="23"/>
      <c r="Y10" s="23"/>
    </row>
    <row r="11" spans="1:25" x14ac:dyDescent="0.3">
      <c r="A11" t="s">
        <v>9</v>
      </c>
      <c r="B11" s="21">
        <f>+'Tata-input'!B29</f>
        <v>370.46</v>
      </c>
      <c r="C11" s="21">
        <f>+'Tata-input'!C29</f>
        <v>232.85</v>
      </c>
      <c r="D11" s="21">
        <f>+'Tata-input'!D29</f>
        <v>236.38</v>
      </c>
      <c r="E11" s="21">
        <f>+'Tata-input'!E29</f>
        <v>354.92</v>
      </c>
      <c r="F11" s="21">
        <f>+'Tata-input'!F29</f>
        <v>273.32</v>
      </c>
      <c r="G11" s="21">
        <f>+'Tata-input'!G29</f>
        <v>226.67</v>
      </c>
      <c r="H11" s="21">
        <f>+'Tata-input'!H29</f>
        <v>354.89</v>
      </c>
      <c r="I11" s="21">
        <f>+'Tata-input'!I29</f>
        <v>522.13</v>
      </c>
      <c r="J11" s="21">
        <f>+'Tata-input'!J29</f>
        <v>296.62</v>
      </c>
      <c r="K11" s="21">
        <f>+'Tata-input'!K29</f>
        <v>213.5</v>
      </c>
      <c r="L11" s="21">
        <f>IF(N66=TRUE,"",+SUM('Tata-input'!H48:K48))</f>
        <v>202.12</v>
      </c>
      <c r="M11" s="17"/>
      <c r="P11" s="26"/>
      <c r="Q11" s="26"/>
      <c r="R11" s="26"/>
      <c r="S11" s="26"/>
      <c r="T11" s="23"/>
      <c r="U11" s="23"/>
      <c r="V11" s="23"/>
      <c r="W11" s="23"/>
      <c r="X11" s="23"/>
      <c r="Y11" s="23"/>
    </row>
    <row r="12" spans="1:25" x14ac:dyDescent="0.3">
      <c r="A12" t="s">
        <v>74</v>
      </c>
      <c r="B12" s="20">
        <f t="shared" ref="B12:K12" si="2">B11/B10</f>
        <v>0.99209983664068979</v>
      </c>
      <c r="C12" s="20">
        <f t="shared" si="2"/>
        <v>0.95700957626073735</v>
      </c>
      <c r="D12" s="20">
        <f t="shared" si="2"/>
        <v>0.16115792631378004</v>
      </c>
      <c r="E12" s="20">
        <f t="shared" si="2"/>
        <v>7.781626836220128</v>
      </c>
      <c r="F12" s="20">
        <f t="shared" si="2"/>
        <v>0.7963869463869464</v>
      </c>
      <c r="G12" s="20">
        <f t="shared" si="2"/>
        <v>1.6230130316482887</v>
      </c>
      <c r="H12" s="20">
        <f t="shared" si="2"/>
        <v>0.2206272730098536</v>
      </c>
      <c r="I12" s="20">
        <f t="shared" si="2"/>
        <v>0.26106761067610673</v>
      </c>
      <c r="J12" s="20">
        <f t="shared" si="2"/>
        <v>0.14374884902057708</v>
      </c>
      <c r="K12" s="20">
        <f t="shared" si="2"/>
        <v>0.18356275094790603</v>
      </c>
      <c r="L12" s="20">
        <f>+IF(N66=TRUE,"",L11/L10)</f>
        <v>0.15609409511452976</v>
      </c>
      <c r="M12" s="17"/>
      <c r="N12" s="29" t="s">
        <v>75</v>
      </c>
      <c r="O12" s="30">
        <f>+'Tata-input'!B9/SUM('Tata-input'!K57:K58)</f>
        <v>21.577372622339652</v>
      </c>
      <c r="P12" s="26"/>
      <c r="Q12" s="26"/>
      <c r="R12" s="26"/>
      <c r="S12" s="26"/>
      <c r="T12" s="23"/>
      <c r="U12" s="23"/>
      <c r="V12" s="23"/>
      <c r="W12" s="23"/>
      <c r="X12" s="23"/>
      <c r="Y12" s="23"/>
    </row>
    <row r="13" spans="1:25" x14ac:dyDescent="0.3">
      <c r="A13" t="s">
        <v>76</v>
      </c>
      <c r="B13" s="21">
        <f>+'Tata-input'!B30</f>
        <v>1.29</v>
      </c>
      <c r="C13" s="21">
        <f>+'Tata-input'!C30</f>
        <v>8.68</v>
      </c>
      <c r="D13" s="21">
        <f>+'Tata-input'!D30</f>
        <v>1232.8699999999999</v>
      </c>
      <c r="E13" s="21">
        <f>+'Tata-input'!E30</f>
        <v>-328.6</v>
      </c>
      <c r="F13" s="21">
        <f>+'Tata-input'!F30</f>
        <v>-82.37</v>
      </c>
      <c r="G13" s="21">
        <f>+'Tata-input'!G30</f>
        <v>-85.96</v>
      </c>
      <c r="H13" s="21">
        <f>+'Tata-input'!H30</f>
        <v>1250.6300000000001</v>
      </c>
      <c r="I13" s="21">
        <f>+'Tata-input'!I30</f>
        <v>1481.76</v>
      </c>
      <c r="J13" s="21">
        <f>+'Tata-input'!J30</f>
        <v>1795.96</v>
      </c>
      <c r="K13" s="21">
        <f>+'Tata-input'!K30</f>
        <v>968.34</v>
      </c>
      <c r="L13" s="21">
        <f>IF(N66=TRUE,"",+SUM('Tata-input'!H49:K49))</f>
        <v>1117.21</v>
      </c>
      <c r="M13" s="18">
        <f>SUM(G13:K13)</f>
        <v>5410.7300000000005</v>
      </c>
      <c r="N13" s="21" t="s">
        <v>77</v>
      </c>
      <c r="O13" s="30">
        <f>O10*O12</f>
        <v>744.46773609604259</v>
      </c>
      <c r="P13" s="26"/>
      <c r="Q13" s="26"/>
      <c r="R13" s="26"/>
      <c r="S13" s="26"/>
      <c r="T13" s="23"/>
      <c r="U13" s="23"/>
      <c r="V13" s="23"/>
      <c r="W13" s="23"/>
      <c r="X13" s="23"/>
      <c r="Y13" s="23"/>
    </row>
    <row r="14" spans="1:25" x14ac:dyDescent="0.3">
      <c r="A14" s="2" t="s">
        <v>78</v>
      </c>
      <c r="B14" s="5">
        <f t="shared" ref="B14:K14" si="3">B13/B3</f>
        <v>6.4780694750353276E-5</v>
      </c>
      <c r="C14" s="24">
        <f t="shared" si="3"/>
        <v>4.782743333087216E-4</v>
      </c>
      <c r="D14" s="24">
        <f t="shared" si="3"/>
        <v>6.9970992745064756E-2</v>
      </c>
      <c r="E14" s="24">
        <f t="shared" si="3"/>
        <v>-1.9592539571146383E-2</v>
      </c>
      <c r="F14" s="24">
        <f t="shared" si="3"/>
        <v>-4.9845839170466477E-3</v>
      </c>
      <c r="G14" s="24">
        <f t="shared" si="3"/>
        <v>-5.0363282378299958E-3</v>
      </c>
      <c r="H14" s="24">
        <f t="shared" si="3"/>
        <v>7.3135829615031497E-2</v>
      </c>
      <c r="I14" s="24">
        <f t="shared" si="3"/>
        <v>8.8596945959665718E-2</v>
      </c>
      <c r="J14" s="24">
        <f t="shared" si="3"/>
        <v>0.10068022329532142</v>
      </c>
      <c r="K14" s="24">
        <f t="shared" si="3"/>
        <v>4.6179994868571529E-2</v>
      </c>
      <c r="L14" s="24">
        <f>+IF(N66=TRUE,"",L13/L3)</f>
        <v>4.8891098372543164E-2</v>
      </c>
      <c r="M14" s="31"/>
      <c r="N14" t="s">
        <v>79</v>
      </c>
      <c r="O14" s="32">
        <f>'Tata-input'!K31/'Tata-input'!B9</f>
        <v>1.2347504621072088E-2</v>
      </c>
      <c r="P14" s="26"/>
      <c r="Q14" s="26"/>
      <c r="R14" s="26"/>
      <c r="S14" s="26"/>
      <c r="T14" s="23"/>
      <c r="U14" s="23"/>
      <c r="V14" s="23"/>
      <c r="W14" s="23"/>
      <c r="X14" s="23"/>
      <c r="Y14" s="23"/>
    </row>
    <row r="15" spans="1:25" x14ac:dyDescent="0.3">
      <c r="A15" s="2" t="s">
        <v>80</v>
      </c>
      <c r="B15" s="18">
        <f>+'Tata-input'!B82</f>
        <v>3028.34</v>
      </c>
      <c r="C15" s="18">
        <f>+'Tata-input'!C82</f>
        <v>2362.69</v>
      </c>
      <c r="D15" s="18">
        <f>+'Tata-input'!D82</f>
        <v>2393.5</v>
      </c>
      <c r="E15" s="18">
        <f>+'Tata-input'!E82</f>
        <v>1712.81</v>
      </c>
      <c r="F15" s="18">
        <f>+'Tata-input'!F82</f>
        <v>1844.33</v>
      </c>
      <c r="G15" s="18">
        <f>+'Tata-input'!G82</f>
        <v>2524.7600000000002</v>
      </c>
      <c r="H15" s="18">
        <f>+'Tata-input'!H82</f>
        <v>3179.83</v>
      </c>
      <c r="I15" s="18">
        <f>+'Tata-input'!I82</f>
        <v>4203.82</v>
      </c>
      <c r="J15" s="18">
        <f>+'Tata-input'!J82</f>
        <v>4384.3500000000004</v>
      </c>
      <c r="K15" s="18">
        <f>+'Tata-input'!K82</f>
        <v>3182</v>
      </c>
      <c r="L15" s="33" t="s">
        <v>81</v>
      </c>
      <c r="M15" s="18">
        <f>SUM(G15:K15)</f>
        <v>17474.760000000002</v>
      </c>
      <c r="N15" t="s">
        <v>82</v>
      </c>
      <c r="O15" s="23">
        <f>+'Tata-input'!B9</f>
        <v>38546.25</v>
      </c>
      <c r="P15" s="26"/>
      <c r="Q15" s="26"/>
      <c r="R15" s="26"/>
      <c r="S15" s="26"/>
      <c r="T15" s="23"/>
      <c r="U15" s="23"/>
      <c r="V15" s="23"/>
      <c r="W15" s="23"/>
      <c r="X15" s="23"/>
      <c r="Y15" s="23"/>
    </row>
    <row r="16" spans="1:25" x14ac:dyDescent="0.3">
      <c r="A16" s="2" t="s">
        <v>83</v>
      </c>
      <c r="B16" s="18"/>
      <c r="C16" s="18">
        <f>+'Tata-input'!C62+'Tata-input'!C63-'Tata-input'!B62-'Tata-input'!B63+'Tata-input'!C26</f>
        <v>1765.7599999999993</v>
      </c>
      <c r="D16" s="18">
        <f>+'Tata-input'!D62+'Tata-input'!D63-'Tata-input'!C62-'Tata-input'!C63+'Tata-input'!D26</f>
        <v>-1698.4299999999994</v>
      </c>
      <c r="E16" s="18">
        <f>+'Tata-input'!E62+'Tata-input'!E63-'Tata-input'!D62-'Tata-input'!D63+'Tata-input'!E26</f>
        <v>1543.7200000000003</v>
      </c>
      <c r="F16" s="18">
        <f>+'Tata-input'!F62+'Tata-input'!F63-'Tata-input'!E62-'Tata-input'!E63+'Tata-input'!F26</f>
        <v>2401.4799999999987</v>
      </c>
      <c r="G16" s="18">
        <f>+'Tata-input'!G62+'Tata-input'!G63-'Tata-input'!F62-'Tata-input'!F63+'Tata-input'!G26</f>
        <v>3824.0300000000016</v>
      </c>
      <c r="H16" s="18">
        <f>+'Tata-input'!H62+'Tata-input'!H63-'Tata-input'!G62-'Tata-input'!G63+'Tata-input'!H26</f>
        <v>1209.3600000000001</v>
      </c>
      <c r="I16" s="18">
        <f>+'Tata-input'!I62+'Tata-input'!I63-'Tata-input'!H62-'Tata-input'!H63+'Tata-input'!I26</f>
        <v>1980.6699999999992</v>
      </c>
      <c r="J16" s="18">
        <f>+'Tata-input'!J62+'Tata-input'!J63-'Tata-input'!I62-'Tata-input'!I63+'Tata-input'!J26</f>
        <v>2120.7899999999986</v>
      </c>
      <c r="K16" s="18">
        <f>+'Tata-input'!K62+'Tata-input'!K63-'Tata-input'!J62-'Tata-input'!J63+'Tata-input'!K26</f>
        <v>5616.4700000000012</v>
      </c>
      <c r="L16" s="33">
        <f>'Tata-input'!B68</f>
        <v>26.4</v>
      </c>
      <c r="M16" s="17">
        <f>SUM(G16:K16)</f>
        <v>14751.32</v>
      </c>
      <c r="P16" s="26"/>
      <c r="Q16" s="26"/>
      <c r="R16" s="26"/>
      <c r="S16" s="26"/>
      <c r="T16" s="23"/>
      <c r="U16" s="23"/>
      <c r="V16" s="23"/>
      <c r="W16" s="23"/>
      <c r="X16" s="23"/>
      <c r="Y16" s="23"/>
    </row>
    <row r="17" spans="1:25" x14ac:dyDescent="0.3">
      <c r="A17" s="2" t="s">
        <v>85</v>
      </c>
      <c r="B17" s="18"/>
      <c r="C17" s="34">
        <f t="shared" ref="C17:K17" si="4">+C15-C16</f>
        <v>596.93000000000075</v>
      </c>
      <c r="D17" s="34">
        <f t="shared" si="4"/>
        <v>4091.9299999999994</v>
      </c>
      <c r="E17" s="34">
        <f t="shared" si="4"/>
        <v>169.08999999999969</v>
      </c>
      <c r="F17" s="34">
        <f t="shared" si="4"/>
        <v>-557.14999999999873</v>
      </c>
      <c r="G17" s="34">
        <f t="shared" si="4"/>
        <v>-1299.2700000000013</v>
      </c>
      <c r="H17" s="34">
        <f t="shared" si="4"/>
        <v>1970.4699999999998</v>
      </c>
      <c r="I17" s="34">
        <f t="shared" si="4"/>
        <v>2223.1500000000005</v>
      </c>
      <c r="J17" s="34">
        <f t="shared" si="4"/>
        <v>2263.5600000000018</v>
      </c>
      <c r="K17" s="34">
        <f t="shared" si="4"/>
        <v>-2434.4700000000012</v>
      </c>
      <c r="L17" s="35" t="s">
        <v>85</v>
      </c>
      <c r="M17" s="34">
        <f>+M15-M16</f>
        <v>2723.4400000000023</v>
      </c>
      <c r="N17" s="21">
        <f>SUM(B43:K43)</f>
        <v>3358.4</v>
      </c>
      <c r="O17" t="s">
        <v>86</v>
      </c>
      <c r="P17" s="26"/>
      <c r="Q17" s="26"/>
      <c r="R17" s="26"/>
      <c r="S17" s="26"/>
      <c r="T17" s="23"/>
      <c r="U17" s="23"/>
      <c r="V17" s="23"/>
      <c r="W17" s="23"/>
      <c r="X17" s="23"/>
      <c r="Y17" s="23"/>
    </row>
    <row r="18" spans="1:25" s="24" customFormat="1" x14ac:dyDescent="0.3">
      <c r="A18" s="2" t="s">
        <v>87</v>
      </c>
      <c r="B18" s="36">
        <f>+'Tata-input'!B59</f>
        <v>13075.72</v>
      </c>
      <c r="C18" s="18">
        <f>+'Tata-input'!C59</f>
        <v>14230.86</v>
      </c>
      <c r="D18" s="36">
        <f>+'Tata-input'!D59</f>
        <v>9213.6</v>
      </c>
      <c r="E18" s="18">
        <f>+'Tata-input'!E59</f>
        <v>8926.9699999999993</v>
      </c>
      <c r="F18" s="36">
        <f>+'Tata-input'!F59</f>
        <v>9934.94</v>
      </c>
      <c r="G18" s="18">
        <f>+'Tata-input'!G59</f>
        <v>12413.49</v>
      </c>
      <c r="H18" s="36">
        <f>+'Tata-input'!H59</f>
        <v>11393.6</v>
      </c>
      <c r="I18" s="18">
        <f>+'Tata-input'!I59</f>
        <v>9121.5400000000009</v>
      </c>
      <c r="J18" s="36">
        <f>+'Tata-input'!J59</f>
        <v>8576.64</v>
      </c>
      <c r="K18" s="18">
        <f>+'Tata-input'!K59</f>
        <v>11263.17</v>
      </c>
      <c r="L18" s="37" t="s">
        <v>88</v>
      </c>
      <c r="M18" s="34">
        <f>+M17-M8</f>
        <v>395.64000000000215</v>
      </c>
      <c r="N18" s="21">
        <f>L45-IF(N21&gt;0,N21*'Tata-input'!B6,B45)</f>
        <v>31036.5</v>
      </c>
      <c r="O18" t="s">
        <v>89</v>
      </c>
      <c r="P18" s="26"/>
      <c r="Q18" s="26"/>
      <c r="R18" s="26"/>
      <c r="S18" s="26"/>
    </row>
    <row r="19" spans="1:25" x14ac:dyDescent="0.3">
      <c r="A19" t="s">
        <v>90</v>
      </c>
      <c r="B19" s="31">
        <f>+'Tata-input'!B57</f>
        <v>285</v>
      </c>
      <c r="C19" s="31">
        <f>+'Tata-input'!C57</f>
        <v>285</v>
      </c>
      <c r="D19" s="31">
        <f>+'Tata-input'!D57</f>
        <v>285</v>
      </c>
      <c r="E19" s="31">
        <f>+'Tata-input'!E57</f>
        <v>285</v>
      </c>
      <c r="F19" s="31">
        <f>+'Tata-input'!F57</f>
        <v>285</v>
      </c>
      <c r="G19" s="31">
        <f>+'Tata-input'!G57</f>
        <v>285</v>
      </c>
      <c r="H19" s="31">
        <f>+'Tata-input'!H57</f>
        <v>285</v>
      </c>
      <c r="I19" s="31">
        <f>+'Tata-input'!I57</f>
        <v>285</v>
      </c>
      <c r="J19" s="31">
        <f>+'Tata-input'!J57</f>
        <v>285</v>
      </c>
      <c r="K19" s="31">
        <f>+'Tata-input'!K57</f>
        <v>285</v>
      </c>
      <c r="L19" s="38" t="s">
        <v>91</v>
      </c>
      <c r="M19" s="39">
        <f>+SUM(B41:K41)</f>
        <v>2884.2</v>
      </c>
      <c r="N19" s="40">
        <f>N18/N17</f>
        <v>9.2414542639352071</v>
      </c>
      <c r="O19" s="2" t="s">
        <v>92</v>
      </c>
      <c r="P19" s="23"/>
      <c r="Q19" s="2"/>
      <c r="R19" s="2"/>
      <c r="S19" s="2"/>
      <c r="T19" s="23"/>
      <c r="U19" s="23"/>
      <c r="V19" s="23"/>
      <c r="W19" s="23"/>
      <c r="X19" s="23"/>
      <c r="Y19" s="23"/>
    </row>
    <row r="20" spans="1:25" ht="15" thickBot="1" x14ac:dyDescent="0.35">
      <c r="A20" t="s">
        <v>93</v>
      </c>
      <c r="B20" s="17">
        <f>+'Tata-input'!B31</f>
        <v>156.75</v>
      </c>
      <c r="C20" s="17">
        <f>+'Tata-input'!C31</f>
        <v>122.55</v>
      </c>
      <c r="D20" s="17">
        <f>+'Tata-input'!D31</f>
        <v>171</v>
      </c>
      <c r="E20" s="17">
        <f>+'Tata-input'!E31</f>
        <v>128.25</v>
      </c>
      <c r="F20" s="17">
        <f>+'Tata-input'!F31</f>
        <v>128.25</v>
      </c>
      <c r="G20" s="17">
        <f>+'Tata-input'!G31</f>
        <v>114</v>
      </c>
      <c r="H20" s="17">
        <f>+'Tata-input'!H31</f>
        <v>399</v>
      </c>
      <c r="I20" s="17">
        <f>+'Tata-input'!I31</f>
        <v>589.95000000000005</v>
      </c>
      <c r="J20" s="17">
        <f>+'Tata-input'!J31</f>
        <v>598.5</v>
      </c>
      <c r="K20" s="17">
        <f>+'Tata-input'!K31</f>
        <v>475.95</v>
      </c>
      <c r="L20" s="38" t="s">
        <v>94</v>
      </c>
      <c r="M20" s="39">
        <f>+K18-G18</f>
        <v>-1150.3199999999997</v>
      </c>
      <c r="P20" s="19"/>
      <c r="Q20" s="2"/>
      <c r="R20" s="2"/>
      <c r="S20" s="2"/>
      <c r="T20" s="19"/>
      <c r="U20" s="19"/>
      <c r="V20" s="23"/>
      <c r="W20" s="23"/>
      <c r="X20" s="23"/>
      <c r="Y20" s="23"/>
    </row>
    <row r="21" spans="1:25" s="2" customFormat="1" ht="15" thickBot="1" x14ac:dyDescent="0.35">
      <c r="A21" t="s">
        <v>95</v>
      </c>
      <c r="B21" s="21">
        <f>+'Tata-input'!B64+'Tata-input'!B69</f>
        <v>3388.65</v>
      </c>
      <c r="C21" s="21">
        <f>+'Tata-input'!C64+'Tata-input'!C69</f>
        <v>3813.49</v>
      </c>
      <c r="D21" s="21">
        <f>+'Tata-input'!D64+'Tata-input'!D69</f>
        <v>3513.25</v>
      </c>
      <c r="E21" s="21">
        <f>+'Tata-input'!E64+'Tata-input'!E69</f>
        <v>2545.77</v>
      </c>
      <c r="F21" s="21">
        <f>+'Tata-input'!F64+'Tata-input'!F69</f>
        <v>2343.35</v>
      </c>
      <c r="G21" s="21">
        <f>+'Tata-input'!G64+'Tata-input'!G69</f>
        <v>2472.23</v>
      </c>
      <c r="H21" s="21">
        <f>+'Tata-input'!H64+'Tata-input'!H69</f>
        <v>3160.46</v>
      </c>
      <c r="I21" s="21">
        <f>+'Tata-input'!I64+'Tata-input'!I69</f>
        <v>2308.62</v>
      </c>
      <c r="J21" s="21">
        <f>+'Tata-input'!J64+'Tata-input'!J69</f>
        <v>3013.12</v>
      </c>
      <c r="K21" s="21">
        <f>+'Tata-input'!K64+'Tata-input'!K69</f>
        <v>2450.67</v>
      </c>
      <c r="L21" s="41" t="s">
        <v>96</v>
      </c>
      <c r="M21" s="34">
        <f>+K21</f>
        <v>2450.67</v>
      </c>
      <c r="N21" s="42">
        <v>0</v>
      </c>
      <c r="O21" s="2" t="s">
        <v>97</v>
      </c>
      <c r="P21" s="19"/>
      <c r="Q21" s="23"/>
      <c r="R21" s="20"/>
      <c r="S21" s="20"/>
      <c r="T21" s="19"/>
      <c r="U21" s="19"/>
      <c r="V21" s="19"/>
      <c r="W21" s="19"/>
      <c r="X21" s="19"/>
      <c r="Y21" s="19"/>
    </row>
    <row r="22" spans="1:25" s="2" customFormat="1" x14ac:dyDescent="0.3">
      <c r="A22" s="139" t="s">
        <v>267</v>
      </c>
      <c r="B22" s="140">
        <f>B18-B60</f>
        <v>11454.57</v>
      </c>
      <c r="C22" s="140">
        <f t="shared" ref="C22:K22" si="5">C18-C60</f>
        <v>12254.59</v>
      </c>
      <c r="D22" s="140">
        <f t="shared" si="5"/>
        <v>8134.31</v>
      </c>
      <c r="E22" s="140">
        <f t="shared" si="5"/>
        <v>7631.3899999999994</v>
      </c>
      <c r="F22" s="140">
        <f t="shared" si="5"/>
        <v>9082.86</v>
      </c>
      <c r="G22" s="140">
        <f t="shared" si="5"/>
        <v>11504.36</v>
      </c>
      <c r="H22" s="140">
        <f t="shared" si="5"/>
        <v>10466.5</v>
      </c>
      <c r="I22" s="140">
        <f t="shared" si="5"/>
        <v>8378.1500000000015</v>
      </c>
      <c r="J22" s="140">
        <f t="shared" si="5"/>
        <v>7514.07</v>
      </c>
      <c r="K22" s="140">
        <f t="shared" si="5"/>
        <v>10420.719999999999</v>
      </c>
      <c r="L22" s="2" t="s">
        <v>98</v>
      </c>
      <c r="M22" s="5">
        <f>+M17/M15</f>
        <v>0.1558499229746218</v>
      </c>
      <c r="P22" s="19"/>
      <c r="Q22" s="23"/>
      <c r="R22" s="20"/>
      <c r="S22" s="20"/>
      <c r="T22" s="19"/>
      <c r="U22" s="19"/>
      <c r="V22" s="19"/>
      <c r="W22" s="19"/>
      <c r="X22" s="19"/>
      <c r="Y22" s="19"/>
    </row>
    <row r="23" spans="1:25" s="2" customFormat="1" x14ac:dyDescent="0.3">
      <c r="A23" s="2" t="s">
        <v>99</v>
      </c>
      <c r="D23" s="43"/>
      <c r="E23" s="43">
        <f t="shared" ref="E23:K23" si="6">AVERAGE(C33:E33)*AVERAGE(C14:E14)*(1-AVERAGE(C42:E42))-AVERAGE(C66:E66)</f>
        <v>-0.2443107817004265</v>
      </c>
      <c r="F23" s="43">
        <f t="shared" si="6"/>
        <v>-0.14100346609570727</v>
      </c>
      <c r="G23" s="43">
        <f t="shared" si="6"/>
        <v>-0.21213928007390079</v>
      </c>
      <c r="H23" s="43">
        <f t="shared" si="6"/>
        <v>-0.13332074612777028</v>
      </c>
      <c r="I23" s="43">
        <f t="shared" si="6"/>
        <v>-0.10528801583020625</v>
      </c>
      <c r="J23" s="43">
        <f t="shared" si="6"/>
        <v>-0.1195139280713467</v>
      </c>
      <c r="K23" s="43">
        <f t="shared" si="6"/>
        <v>-0.12413229945099469</v>
      </c>
      <c r="L23" s="38" t="s">
        <v>100</v>
      </c>
      <c r="M23" s="44">
        <f>+M52</f>
        <v>11517.7302</v>
      </c>
      <c r="Q23" s="19"/>
      <c r="R23" s="23"/>
      <c r="S23" s="23"/>
      <c r="T23" s="19"/>
      <c r="U23" s="19"/>
      <c r="V23" s="19"/>
      <c r="W23" s="19"/>
      <c r="X23" s="19"/>
      <c r="Y23" s="19"/>
    </row>
    <row r="24" spans="1:25" s="2" customFormat="1" ht="28.8" x14ac:dyDescent="0.3">
      <c r="L24" s="15" t="s">
        <v>136</v>
      </c>
      <c r="P24"/>
      <c r="Q24" s="19"/>
      <c r="R24" s="19"/>
      <c r="S24" s="19"/>
      <c r="T24" s="19"/>
      <c r="U24" s="19"/>
      <c r="V24" s="19"/>
      <c r="W24" s="19"/>
      <c r="X24" s="19"/>
      <c r="Y24" s="19"/>
    </row>
    <row r="25" spans="1:25" s="2" customFormat="1" x14ac:dyDescent="0.3">
      <c r="A25" t="s">
        <v>101</v>
      </c>
      <c r="B25" s="17">
        <f>+'Tata-input'!B67</f>
        <v>2487</v>
      </c>
      <c r="C25" s="17">
        <f>+'Tata-input'!C67</f>
        <v>3018.86</v>
      </c>
      <c r="D25" s="17">
        <f>+'Tata-input'!D67</f>
        <v>2590.04</v>
      </c>
      <c r="E25" s="17">
        <f>+'Tata-input'!E67</f>
        <v>2953.47</v>
      </c>
      <c r="F25" s="17">
        <f>+'Tata-input'!F67</f>
        <v>2968.45</v>
      </c>
      <c r="G25" s="17">
        <f>+'Tata-input'!G67</f>
        <v>3228.87</v>
      </c>
      <c r="H25" s="17">
        <f>+'Tata-input'!H67</f>
        <v>2607.6799999999998</v>
      </c>
      <c r="I25" s="17">
        <f>+'Tata-input'!I67</f>
        <v>2582.13</v>
      </c>
      <c r="J25" s="17">
        <f>+'Tata-input'!J67</f>
        <v>2734.99</v>
      </c>
      <c r="K25" s="17">
        <f>+'Tata-input'!K67</f>
        <v>3758.36</v>
      </c>
      <c r="L25" s="34">
        <f>+B25-K25</f>
        <v>-1271.3600000000001</v>
      </c>
      <c r="P25"/>
      <c r="Q25" s="19"/>
      <c r="R25" s="19"/>
      <c r="S25" s="19"/>
      <c r="T25" s="19"/>
      <c r="U25" s="19"/>
      <c r="V25" s="19"/>
      <c r="W25" s="19"/>
      <c r="X25" s="19"/>
      <c r="Y25" s="19"/>
    </row>
    <row r="26" spans="1:25" s="2" customFormat="1" x14ac:dyDescent="0.3">
      <c r="A26" t="s">
        <v>34</v>
      </c>
      <c r="B26" s="17">
        <f>+'Tata-input'!B68</f>
        <v>26.4</v>
      </c>
      <c r="C26" s="17">
        <f>+'Tata-input'!C68</f>
        <v>25.42</v>
      </c>
      <c r="D26" s="17">
        <f>+'Tata-input'!D68</f>
        <v>19.2</v>
      </c>
      <c r="E26" s="17">
        <f>+'Tata-input'!E68</f>
        <v>26.99</v>
      </c>
      <c r="F26" s="17">
        <f>+'Tata-input'!F68</f>
        <v>76.58</v>
      </c>
      <c r="G26" s="17">
        <f>+'Tata-input'!G68</f>
        <v>72.97</v>
      </c>
      <c r="H26" s="17">
        <f>+'Tata-input'!H68</f>
        <v>34.44</v>
      </c>
      <c r="I26" s="17">
        <f>+'Tata-input'!I68</f>
        <v>37.880000000000003</v>
      </c>
      <c r="J26" s="17">
        <f>+'Tata-input'!J68</f>
        <v>160</v>
      </c>
      <c r="K26" s="17">
        <f>+'Tata-input'!K68</f>
        <v>83.54</v>
      </c>
      <c r="L26" s="34">
        <f>+B26-K26</f>
        <v>-57.140000000000008</v>
      </c>
      <c r="P26"/>
      <c r="Q26" s="19"/>
      <c r="R26" s="19"/>
      <c r="S26" s="19"/>
      <c r="T26" s="19"/>
      <c r="U26" s="19"/>
      <c r="V26" s="19"/>
      <c r="W26" s="19"/>
      <c r="X26" s="19"/>
      <c r="Y26" s="19"/>
    </row>
    <row r="27" spans="1:25" s="2" customFormat="1" x14ac:dyDescent="0.3">
      <c r="A27"/>
      <c r="B27"/>
      <c r="C27"/>
      <c r="D27"/>
      <c r="E27"/>
      <c r="F27"/>
      <c r="G27"/>
      <c r="H27"/>
      <c r="I27"/>
      <c r="J27"/>
      <c r="K27"/>
      <c r="P27"/>
      <c r="Q27" s="19"/>
      <c r="R27" s="19"/>
      <c r="S27" s="19"/>
      <c r="T27" s="19"/>
      <c r="U27" s="19"/>
      <c r="V27" s="19"/>
      <c r="W27" s="19"/>
      <c r="X27" s="19"/>
      <c r="Y27" s="19"/>
    </row>
    <row r="28" spans="1:25" s="2" customFormat="1" x14ac:dyDescent="0.3">
      <c r="A28" t="s">
        <v>103</v>
      </c>
      <c r="B28" s="20"/>
      <c r="C28" s="20">
        <f t="shared" ref="C28:K28" si="7">C10/(AVERAGE(B38:C38))</f>
        <v>1.6695010880816041E-2</v>
      </c>
      <c r="D28" s="20">
        <f t="shared" si="7"/>
        <v>0.11561891068692182</v>
      </c>
      <c r="E28" s="20">
        <f t="shared" si="7"/>
        <v>4.1988395884014068E-3</v>
      </c>
      <c r="F28" s="20">
        <f t="shared" si="7"/>
        <v>3.1078609775544882E-2</v>
      </c>
      <c r="G28" s="20">
        <f t="shared" si="7"/>
        <v>1.1610482687985528E-2</v>
      </c>
      <c r="H28" s="20">
        <f t="shared" si="7"/>
        <v>0.13245750230877323</v>
      </c>
      <c r="I28" s="20">
        <f t="shared" si="7"/>
        <v>0.17812583914808683</v>
      </c>
      <c r="J28" s="20">
        <f t="shared" si="7"/>
        <v>0.19252483464562523</v>
      </c>
      <c r="K28" s="20">
        <f t="shared" si="7"/>
        <v>9.7057661391772604E-2</v>
      </c>
      <c r="P28"/>
      <c r="Q28" s="19"/>
      <c r="R28" s="19"/>
      <c r="S28" s="19"/>
      <c r="T28" s="19"/>
      <c r="U28" s="19"/>
      <c r="V28" s="19"/>
      <c r="W28" s="19"/>
      <c r="X28" s="19"/>
      <c r="Y28" s="19"/>
    </row>
    <row r="29" spans="1:25" s="2" customFormat="1" x14ac:dyDescent="0.3">
      <c r="A29" t="s">
        <v>104</v>
      </c>
      <c r="B29" s="20"/>
      <c r="C29" s="20">
        <f t="shared" ref="C29:K29" si="8">C13/AVERAGE(B49:C49)</f>
        <v>-0.41441871568393424</v>
      </c>
      <c r="D29" s="20">
        <f t="shared" si="8"/>
        <v>2.0070490175330065</v>
      </c>
      <c r="E29" s="20">
        <f t="shared" si="8"/>
        <v>-0.31426631344382705</v>
      </c>
      <c r="F29" s="20">
        <f t="shared" si="8"/>
        <v>-0.5188498000062991</v>
      </c>
      <c r="G29" s="20">
        <f t="shared" si="8"/>
        <v>0.11773971523863661</v>
      </c>
      <c r="H29" s="20">
        <f t="shared" si="8"/>
        <v>-2.1508814171467887</v>
      </c>
      <c r="I29" s="20">
        <f t="shared" si="8"/>
        <v>2.8412060783279807</v>
      </c>
      <c r="J29" s="20">
        <f t="shared" si="8"/>
        <v>1.468577386184762</v>
      </c>
      <c r="K29" s="20">
        <f t="shared" si="8"/>
        <v>0.58604161371146368</v>
      </c>
      <c r="T29" s="23"/>
      <c r="U29" s="23"/>
      <c r="V29" s="19"/>
      <c r="W29" s="19"/>
      <c r="X29" s="19"/>
      <c r="Y29" s="19"/>
    </row>
    <row r="30" spans="1:25" s="2" customFormat="1" x14ac:dyDescent="0.3">
      <c r="A30" t="s">
        <v>105</v>
      </c>
      <c r="B30" s="20"/>
      <c r="C30" s="20">
        <f>(C10+C8)/AVERAGE('Tata-input'!B61:C61)</f>
        <v>2.6469190822672205E-2</v>
      </c>
      <c r="D30" s="20">
        <f>(D10+D8)/AVERAGE('Tata-input'!C61:D61)</f>
        <v>7.9510903565905455E-2</v>
      </c>
      <c r="E30" s="20">
        <f>(E10+E8)/AVERAGE('Tata-input'!D61:E61)</f>
        <v>1.9219289650994432E-2</v>
      </c>
      <c r="F30" s="20">
        <f>(F10+F8)/AVERAGE('Tata-input'!E61:F61)</f>
        <v>3.7447761069363275E-2</v>
      </c>
      <c r="G30" s="20">
        <f>(G10+G8)/AVERAGE('Tata-input'!F61:G61)</f>
        <v>2.9009855699255623E-2</v>
      </c>
      <c r="H30" s="20">
        <f>(H10+H8)/AVERAGE('Tata-input'!G61:H61)</f>
        <v>9.3411856848142363E-2</v>
      </c>
      <c r="I30" s="20">
        <f>(I10+I8)/AVERAGE('Tata-input'!H61:I61)</f>
        <v>0.11529323148136388</v>
      </c>
      <c r="J30" s="20">
        <f>(J10+J8)/AVERAGE('Tata-input'!I61:J61)</f>
        <v>0.12430864794572878</v>
      </c>
      <c r="K30" s="20">
        <f>(K10+K8)/AVERAGE('Tata-input'!J61:K61)</f>
        <v>8.0528018981948196E-2</v>
      </c>
      <c r="T30" s="23"/>
      <c r="U30" s="23"/>
      <c r="V30" s="19"/>
      <c r="W30" s="19"/>
      <c r="X30" s="19"/>
      <c r="Y30" s="19"/>
    </row>
    <row r="31" spans="1:25" s="2" customFormat="1" x14ac:dyDescent="0.3">
      <c r="A31" s="2" t="s">
        <v>106</v>
      </c>
      <c r="E31" s="5">
        <f t="shared" ref="E31:K31" si="9">+(E13-B13)/SUM(B43:D43)</f>
        <v>-0.4162439750675046</v>
      </c>
      <c r="F31" s="5">
        <f t="shared" si="9"/>
        <v>-0.18538124809121456</v>
      </c>
      <c r="G31" s="5">
        <f t="shared" si="9"/>
        <v>-3.3438894523326583</v>
      </c>
      <c r="H31" s="5">
        <f t="shared" si="9"/>
        <v>-1.8205849463357273</v>
      </c>
      <c r="I31" s="5">
        <f t="shared" si="9"/>
        <v>3.5463779616823481</v>
      </c>
      <c r="J31" s="5">
        <f t="shared" si="9"/>
        <v>1.2192707388498718</v>
      </c>
      <c r="K31" s="5">
        <f t="shared" si="9"/>
        <v>-9.598762283654666E-2</v>
      </c>
      <c r="T31" s="23"/>
      <c r="U31" s="23"/>
      <c r="V31" s="19"/>
      <c r="W31" s="19"/>
      <c r="X31" s="19"/>
      <c r="Y31" s="19"/>
    </row>
    <row r="32" spans="1:25" s="2" customFormat="1" x14ac:dyDescent="0.3">
      <c r="T32" s="23"/>
      <c r="U32" s="23"/>
      <c r="V32" s="19"/>
      <c r="W32" s="19"/>
      <c r="X32" s="19"/>
      <c r="Y32" s="19"/>
    </row>
    <row r="33" spans="1:25" s="2" customFormat="1" x14ac:dyDescent="0.3">
      <c r="A33" t="s">
        <v>107</v>
      </c>
      <c r="B33" s="17"/>
      <c r="C33" s="4">
        <f>+'Tata-input'!C17/(('Tata-input'!B62+'Tata-input'!C62)/2)</f>
        <v>1.2452868380722553</v>
      </c>
      <c r="D33" s="4">
        <f>+'Tata-input'!D17/(('Tata-input'!C62+'Tata-input'!D62)/2)</f>
        <v>1.3888938812059757</v>
      </c>
      <c r="E33" s="4">
        <f>+'Tata-input'!E17/(('Tata-input'!D62+'Tata-input'!E62)/2)</f>
        <v>1.5439955259021265</v>
      </c>
      <c r="F33" s="4">
        <f>+'Tata-input'!F17/(('Tata-input'!E62+'Tata-input'!F62)/2)</f>
        <v>1.4964232884918136</v>
      </c>
      <c r="G33" s="4">
        <f>+'Tata-input'!G17/(('Tata-input'!F62+'Tata-input'!G62)/2)</f>
        <v>1.418928844434413</v>
      </c>
      <c r="H33" s="4">
        <f>+'Tata-input'!H17/(('Tata-input'!G62+'Tata-input'!H62)/2)</f>
        <v>1.4081231762955788</v>
      </c>
      <c r="I33" s="4">
        <f>+'Tata-input'!I17/(('Tata-input'!H62+'Tata-input'!I62)/2)</f>
        <v>1.4895681785693768</v>
      </c>
      <c r="J33" s="4">
        <f>+'Tata-input'!J17/(('Tata-input'!I62+'Tata-input'!J62)/2)</f>
        <v>1.6643443812168253</v>
      </c>
      <c r="K33" s="4">
        <f>+'Tata-input'!K17/(('Tata-input'!J62+'Tata-input'!K62)/2)</f>
        <v>1.7498083822791266</v>
      </c>
      <c r="Q33" s="19"/>
      <c r="R33" s="19"/>
      <c r="S33" s="19"/>
      <c r="T33" s="19"/>
      <c r="U33" s="19"/>
      <c r="V33" s="19"/>
      <c r="W33" s="19"/>
      <c r="X33" s="19"/>
      <c r="Y33" s="19"/>
    </row>
    <row r="34" spans="1:25" s="2" customFormat="1" x14ac:dyDescent="0.3">
      <c r="A34" t="s">
        <v>108</v>
      </c>
      <c r="B34" s="17"/>
      <c r="C34" s="17">
        <f>365/('Tata-input'!C17/AVERAGE('Tata-input'!B67:C67))</f>
        <v>55.366284855344055</v>
      </c>
      <c r="D34" s="17">
        <f>365/('Tata-input'!D17/AVERAGE('Tata-input'!C67:D67))</f>
        <v>58.09534255065202</v>
      </c>
      <c r="E34" s="17">
        <f>365/('Tata-input'!E17/AVERAGE('Tata-input'!D67:E67))</f>
        <v>60.321325698245083</v>
      </c>
      <c r="F34" s="17">
        <f>365/('Tata-input'!F17/AVERAGE('Tata-input'!E67:F67))</f>
        <v>65.401129806746766</v>
      </c>
      <c r="G34" s="17">
        <f>365/('Tata-input'!G17/AVERAGE('Tata-input'!F67:G67))</f>
        <v>66.265031793433195</v>
      </c>
      <c r="H34" s="17">
        <f>365/('Tata-input'!H17/AVERAGE('Tata-input'!G67:H67))</f>
        <v>62.290300933912668</v>
      </c>
      <c r="I34" s="17">
        <f>365/('Tata-input'!I17/AVERAGE('Tata-input'!H67:I67))</f>
        <v>56.631127976355963</v>
      </c>
      <c r="J34" s="17">
        <f>365/('Tata-input'!J17/AVERAGE('Tata-input'!I67:J67))</f>
        <v>54.398489538777888</v>
      </c>
      <c r="K34" s="17">
        <f>365/('Tata-input'!K17/AVERAGE('Tata-input'!J67:K67))</f>
        <v>56.514213723042118</v>
      </c>
      <c r="Q34" s="19"/>
      <c r="R34" s="19"/>
      <c r="S34" s="19"/>
      <c r="T34" s="19"/>
      <c r="U34" s="19"/>
      <c r="V34" s="19"/>
      <c r="W34" s="19"/>
      <c r="X34" s="19"/>
      <c r="Y34" s="19"/>
    </row>
    <row r="35" spans="1:25" s="2" customFormat="1" x14ac:dyDescent="0.3">
      <c r="A35" t="s">
        <v>109</v>
      </c>
      <c r="B35" s="17"/>
      <c r="C35" s="45">
        <f>'Tata-input'!C17/(AVERAGE('Tata-input'!B68:C68))</f>
        <v>700.44693168660751</v>
      </c>
      <c r="D35" s="45">
        <f>'Tata-input'!D17/(AVERAGE('Tata-input'!C68:D68))</f>
        <v>789.76826535186001</v>
      </c>
      <c r="E35" s="45">
        <f>'Tata-input'!E17/(AVERAGE('Tata-input'!D68:E68))</f>
        <v>726.20437324096122</v>
      </c>
      <c r="F35" s="45">
        <f>'Tata-input'!F17/(AVERAGE('Tata-input'!E68:F68))</f>
        <v>319.10688423288599</v>
      </c>
      <c r="G35" s="45">
        <f>'Tata-input'!G17/(AVERAGE('Tata-input'!F68:G68))</f>
        <v>228.25797392176531</v>
      </c>
      <c r="H35" s="45">
        <f>'Tata-input'!H17/(AVERAGE('Tata-input'!G68:H68))</f>
        <v>318.40796946280608</v>
      </c>
      <c r="I35" s="45">
        <f>'Tata-input'!I17/(AVERAGE('Tata-input'!H68:I68))</f>
        <v>462.5201880530974</v>
      </c>
      <c r="J35" s="45">
        <f>'Tata-input'!J17/(AVERAGE('Tata-input'!I68:J68))</f>
        <v>180.29371336163331</v>
      </c>
      <c r="K35" s="45">
        <f>'Tata-input'!K17/(AVERAGE('Tata-input'!J68:K68))</f>
        <v>172.20021351728667</v>
      </c>
      <c r="Q35" s="19"/>
      <c r="R35" s="19"/>
      <c r="S35" s="19"/>
      <c r="T35" s="19"/>
      <c r="U35" s="19"/>
      <c r="V35" s="19"/>
      <c r="W35" s="19"/>
      <c r="X35" s="19"/>
      <c r="Y35" s="19"/>
    </row>
    <row r="36" spans="1:25" s="2" customFormat="1" x14ac:dyDescent="0.3">
      <c r="A36" t="s">
        <v>110</v>
      </c>
      <c r="B36" s="17"/>
      <c r="C36" s="17">
        <f t="shared" ref="C36:K36" si="10">+C34+365/C35</f>
        <v>55.887380720695504</v>
      </c>
      <c r="D36" s="17">
        <f t="shared" si="10"/>
        <v>58.557503435069663</v>
      </c>
      <c r="E36" s="17">
        <f t="shared" si="10"/>
        <v>60.823939030592626</v>
      </c>
      <c r="F36" s="17">
        <f t="shared" si="10"/>
        <v>66.544947185921899</v>
      </c>
      <c r="G36" s="17">
        <f t="shared" si="10"/>
        <v>67.864099697738268</v>
      </c>
      <c r="H36" s="17">
        <f t="shared" si="10"/>
        <v>63.436629025561253</v>
      </c>
      <c r="I36" s="17">
        <f t="shared" si="10"/>
        <v>57.420282719063316</v>
      </c>
      <c r="J36" s="17">
        <f t="shared" si="10"/>
        <v>56.422963898945305</v>
      </c>
      <c r="K36" s="17">
        <f t="shared" si="10"/>
        <v>58.633839433978643</v>
      </c>
      <c r="Q36" s="19"/>
      <c r="R36" s="19"/>
      <c r="S36" s="19"/>
      <c r="T36" s="19"/>
      <c r="U36" s="19"/>
      <c r="V36" s="19"/>
      <c r="W36" s="19"/>
      <c r="X36" s="19"/>
      <c r="Y36" s="19"/>
    </row>
    <row r="37" spans="1:25" s="2" customFormat="1" x14ac:dyDescent="0.3">
      <c r="A37"/>
      <c r="B37" s="17"/>
      <c r="C37" s="17"/>
      <c r="D37" s="17"/>
      <c r="E37" s="17"/>
      <c r="F37" s="17"/>
      <c r="G37" s="17"/>
      <c r="H37" s="17"/>
      <c r="I37" s="17"/>
      <c r="J37" s="17"/>
      <c r="K37" s="17"/>
      <c r="T37" s="19"/>
      <c r="U37" s="19"/>
      <c r="V37" s="19"/>
      <c r="W37" s="19"/>
      <c r="X37" s="19"/>
      <c r="Y37" s="19"/>
    </row>
    <row r="38" spans="1:25" s="2" customFormat="1" x14ac:dyDescent="0.3">
      <c r="A38" t="s">
        <v>111</v>
      </c>
      <c r="B38" s="21">
        <f>+'Tata-input'!B62</f>
        <v>14703.82</v>
      </c>
      <c r="C38" s="21">
        <f>+'Tata-input'!C62</f>
        <v>14443.81</v>
      </c>
      <c r="D38" s="21">
        <f>+'Tata-input'!D62</f>
        <v>10928.51</v>
      </c>
      <c r="E38" s="21">
        <f>+'Tata-input'!E62</f>
        <v>10796.54</v>
      </c>
      <c r="F38" s="21">
        <f>+'Tata-input'!F62</f>
        <v>11289.39</v>
      </c>
      <c r="G38" s="21">
        <f>+'Tata-input'!G62</f>
        <v>12768.18</v>
      </c>
      <c r="H38" s="21">
        <f>+'Tata-input'!H62</f>
        <v>11519.61</v>
      </c>
      <c r="I38" s="21">
        <f>+'Tata-input'!I62</f>
        <v>10936.2</v>
      </c>
      <c r="J38" s="21">
        <f>+'Tata-input'!J62</f>
        <v>10499.58</v>
      </c>
      <c r="K38" s="21">
        <f>+'Tata-input'!K62</f>
        <v>13467.41</v>
      </c>
      <c r="T38" s="19"/>
      <c r="U38" s="19"/>
      <c r="V38" s="19"/>
      <c r="W38" s="19"/>
      <c r="X38" s="19"/>
      <c r="Y38" s="19"/>
    </row>
    <row r="39" spans="1:25" s="2" customFormat="1" x14ac:dyDescent="0.3">
      <c r="A39" t="s">
        <v>112</v>
      </c>
      <c r="B39" s="21">
        <f>+'Tata-input'!B63</f>
        <v>638.34</v>
      </c>
      <c r="C39" s="21">
        <f>+'Tata-input'!C63</f>
        <v>799.82</v>
      </c>
      <c r="D39" s="21">
        <f>+'Tata-input'!D63</f>
        <v>750.92</v>
      </c>
      <c r="E39" s="21">
        <f>+'Tata-input'!E63</f>
        <v>520.30999999999995</v>
      </c>
      <c r="F39" s="21">
        <f>+'Tata-input'!F63</f>
        <v>361.34</v>
      </c>
      <c r="G39" s="21">
        <f>+'Tata-input'!G63</f>
        <v>348.86</v>
      </c>
      <c r="H39" s="21">
        <f>+'Tata-input'!H63</f>
        <v>492.92</v>
      </c>
      <c r="I39" s="21">
        <f>+'Tata-input'!I63</f>
        <v>852.46</v>
      </c>
      <c r="J39" s="21">
        <f>+'Tata-input'!J63</f>
        <v>1148.06</v>
      </c>
      <c r="K39" s="21">
        <f>+'Tata-input'!K63</f>
        <v>1327.03</v>
      </c>
      <c r="L39" s="23"/>
      <c r="P39" s="23"/>
      <c r="Q39" s="23"/>
      <c r="R39" s="23"/>
      <c r="S39" s="23"/>
      <c r="T39" s="23"/>
      <c r="U39" s="23"/>
      <c r="V39" s="19"/>
      <c r="W39" s="19"/>
      <c r="X39" s="19"/>
      <c r="Y39" s="19"/>
    </row>
    <row r="40" spans="1:25" x14ac:dyDescent="0.3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21"/>
      <c r="T40" s="23"/>
      <c r="U40" s="23"/>
      <c r="V40" s="23"/>
      <c r="W40" s="23"/>
      <c r="X40" s="23"/>
      <c r="Y40" s="23"/>
    </row>
    <row r="41" spans="1:25" x14ac:dyDescent="0.3">
      <c r="A41" t="s">
        <v>93</v>
      </c>
      <c r="B41" s="17">
        <f>+'Tata-input'!B31</f>
        <v>156.75</v>
      </c>
      <c r="C41" s="17">
        <f>+'Tata-input'!C31</f>
        <v>122.55</v>
      </c>
      <c r="D41" s="17">
        <f>+'Tata-input'!D31</f>
        <v>171</v>
      </c>
      <c r="E41" s="17">
        <f>+'Tata-input'!E31</f>
        <v>128.25</v>
      </c>
      <c r="F41" s="17">
        <f>+'Tata-input'!F31</f>
        <v>128.25</v>
      </c>
      <c r="G41" s="17">
        <f>+'Tata-input'!G31</f>
        <v>114</v>
      </c>
      <c r="H41" s="17">
        <f>+'Tata-input'!H31</f>
        <v>399</v>
      </c>
      <c r="I41" s="17">
        <f>+'Tata-input'!I31</f>
        <v>589.95000000000005</v>
      </c>
      <c r="J41" s="17">
        <f>+'Tata-input'!J31</f>
        <v>598.5</v>
      </c>
      <c r="K41" s="17">
        <f>+'Tata-input'!K31</f>
        <v>475.95</v>
      </c>
      <c r="L41" s="20"/>
      <c r="M41" s="44">
        <f>+SUM(B41:K41)</f>
        <v>2884.2</v>
      </c>
      <c r="N41" s="19" t="s">
        <v>113</v>
      </c>
      <c r="O41" s="20">
        <f>IF(B41=0,"",POWER($K41/B41,1/9)-1)</f>
        <v>0.13134448630975681</v>
      </c>
      <c r="P41" s="20">
        <f>IF(D41=0,"",POWER($K41/D41,1/7)-1)</f>
        <v>0.15746886389149739</v>
      </c>
      <c r="Q41" s="20">
        <f>IF(F41=0,"",POWER($K41/F41,1/5)-1)</f>
        <v>0.29987260632272306</v>
      </c>
      <c r="R41" s="20">
        <f>IF(H41=0,"",POWER($K41/H41, 1/3)-1)</f>
        <v>6.0545922319713785E-2</v>
      </c>
      <c r="S41" s="20" t="str">
        <f>IF(ISERROR(MAX(IF(J41=0,"",(K41-J41)/J41),IF(K41=0,"",(#REF!-K41)/K41))),"",MAX(IF(J41=0,"",(K41-J41)/J41),IF(K41=0,"",(#REF!-K41)/K41)))</f>
        <v/>
      </c>
      <c r="T41" s="23"/>
      <c r="U41" s="23"/>
      <c r="V41" s="23"/>
      <c r="W41" s="23"/>
      <c r="X41" s="23"/>
      <c r="Y41" s="23"/>
    </row>
    <row r="42" spans="1:25" x14ac:dyDescent="0.3">
      <c r="A42" t="s">
        <v>114</v>
      </c>
      <c r="B42" s="20">
        <f>+'Tata-input'!B31/'Tata-input'!B30</f>
        <v>121.51162790697674</v>
      </c>
      <c r="C42" s="20">
        <f>+'Tata-input'!C31/'Tata-input'!C30</f>
        <v>14.118663594470046</v>
      </c>
      <c r="D42" s="20">
        <f>+'Tata-input'!D31/'Tata-input'!D30</f>
        <v>0.13870075514855582</v>
      </c>
      <c r="E42" s="20">
        <f>+'Tata-input'!E31/'Tata-input'!E30</f>
        <v>-0.39029214850882527</v>
      </c>
      <c r="F42" s="20">
        <f>+'Tata-input'!F31/'Tata-input'!F30</f>
        <v>-1.5569989073691877</v>
      </c>
      <c r="G42" s="20">
        <f>+'Tata-input'!G31/'Tata-input'!G30</f>
        <v>-1.3261982317356911</v>
      </c>
      <c r="H42" s="20">
        <f>+'Tata-input'!H31/'Tata-input'!H30</f>
        <v>0.31903920424106247</v>
      </c>
      <c r="I42" s="20">
        <f>+'Tata-input'!I31/'Tata-input'!I30</f>
        <v>0.39814139941690968</v>
      </c>
      <c r="J42" s="20">
        <f>+'Tata-input'!J31/'Tata-input'!J30</f>
        <v>0.33324795652464417</v>
      </c>
      <c r="K42" s="20">
        <f>+'Tata-input'!K31/'Tata-input'!K30</f>
        <v>0.49151124604994112</v>
      </c>
      <c r="P42" s="19"/>
      <c r="Q42" s="19"/>
      <c r="R42" s="19"/>
      <c r="S42" s="2"/>
      <c r="T42" s="19"/>
      <c r="U42" s="19"/>
      <c r="V42" s="23"/>
      <c r="W42" s="23"/>
      <c r="X42" s="23"/>
      <c r="Y42" s="23"/>
    </row>
    <row r="43" spans="1:25" s="2" customFormat="1" x14ac:dyDescent="0.3">
      <c r="A43" t="s">
        <v>115</v>
      </c>
      <c r="B43" s="21">
        <f>+'Tata-input'!B30-'Tata-input'!B31</f>
        <v>-155.46</v>
      </c>
      <c r="C43" s="21">
        <f>+'Tata-input'!C30-'Tata-input'!C31</f>
        <v>-113.87</v>
      </c>
      <c r="D43" s="21">
        <f>+'Tata-input'!D30-'Tata-input'!D31</f>
        <v>1061.8699999999999</v>
      </c>
      <c r="E43" s="21">
        <f>+'Tata-input'!E30-'Tata-input'!E31</f>
        <v>-456.85</v>
      </c>
      <c r="F43" s="21">
        <f>+'Tata-input'!F30-'Tata-input'!F31</f>
        <v>-210.62</v>
      </c>
      <c r="G43" s="21">
        <f>+'Tata-input'!G30-'Tata-input'!G31</f>
        <v>-199.95999999999998</v>
      </c>
      <c r="H43" s="21">
        <f>+'Tata-input'!H30-'Tata-input'!H31</f>
        <v>851.63000000000011</v>
      </c>
      <c r="I43" s="21">
        <f>+'Tata-input'!I30-'Tata-input'!I31</f>
        <v>891.81</v>
      </c>
      <c r="J43" s="21">
        <f>+'Tata-input'!J30-'Tata-input'!J31</f>
        <v>1197.46</v>
      </c>
      <c r="K43" s="21">
        <f>+'Tata-input'!K30-'Tata-input'!K31</f>
        <v>492.39000000000004</v>
      </c>
      <c r="P43" s="19"/>
      <c r="Q43" s="19"/>
      <c r="R43" s="19"/>
      <c r="T43" s="19"/>
      <c r="U43" s="19"/>
      <c r="V43" s="19"/>
      <c r="W43" s="19"/>
      <c r="X43" s="19"/>
      <c r="Y43" s="19"/>
    </row>
    <row r="44" spans="1:25" s="2" customFormat="1" x14ac:dyDescent="0.3">
      <c r="A44" t="s">
        <v>11</v>
      </c>
      <c r="B44" s="45">
        <f t="shared" ref="B44:K44" si="11">IF(+B45/B13&lt;=0,0,B45/B13)</f>
        <v>5821.5116279069762</v>
      </c>
      <c r="C44" s="45">
        <f t="shared" si="11"/>
        <v>774.16244239631339</v>
      </c>
      <c r="D44" s="45">
        <f t="shared" si="11"/>
        <v>10.42243707771298</v>
      </c>
      <c r="E44" s="45">
        <f t="shared" si="11"/>
        <v>0</v>
      </c>
      <c r="F44" s="45">
        <f t="shared" si="11"/>
        <v>0</v>
      </c>
      <c r="G44" s="45">
        <f t="shared" si="11"/>
        <v>0</v>
      </c>
      <c r="H44" s="45">
        <f t="shared" si="11"/>
        <v>24.219633304814369</v>
      </c>
      <c r="I44" s="45">
        <f t="shared" si="11"/>
        <v>23.630749919015223</v>
      </c>
      <c r="J44" s="45">
        <f t="shared" si="11"/>
        <v>19.764777611973539</v>
      </c>
      <c r="K44" s="45">
        <f t="shared" si="11"/>
        <v>59.169713117293512</v>
      </c>
      <c r="Q44" s="19"/>
      <c r="R44" s="19"/>
      <c r="S44" s="19"/>
      <c r="T44" s="19"/>
      <c r="U44" s="19"/>
      <c r="V44" s="19"/>
      <c r="W44" s="19"/>
      <c r="X44" s="19"/>
      <c r="Y44" s="19"/>
    </row>
    <row r="45" spans="1:25" s="2" customFormat="1" x14ac:dyDescent="0.3">
      <c r="A45" t="s">
        <v>116</v>
      </c>
      <c r="B45" s="17">
        <f>+'Tata-input'!B90*'Tata-input'!B93</f>
        <v>7509.75</v>
      </c>
      <c r="C45" s="17">
        <f>+'Tata-input'!C90*'Tata-input'!C93</f>
        <v>6719.7300000000005</v>
      </c>
      <c r="D45" s="17">
        <f>+'Tata-input'!D90*'Tata-input'!D93</f>
        <v>12849.51</v>
      </c>
      <c r="E45" s="17">
        <f>+'Tata-input'!E90*'Tata-input'!E93</f>
        <v>11036.055</v>
      </c>
      <c r="F45" s="17">
        <f>+'Tata-input'!F90*'Tata-input'!F93</f>
        <v>10904.385</v>
      </c>
      <c r="G45" s="17">
        <f>+'Tata-input'!G90*'Tata-input'!G93</f>
        <v>6644.7750000000005</v>
      </c>
      <c r="H45" s="17">
        <f>+'Tata-input'!H90*'Tata-input'!H93</f>
        <v>30289.8</v>
      </c>
      <c r="I45" s="17">
        <f>+'Tata-input'!I90*'Tata-input'!I93</f>
        <v>35015.1</v>
      </c>
      <c r="J45" s="17">
        <f>+'Tata-input'!J90*'Tata-input'!J93</f>
        <v>35496.75</v>
      </c>
      <c r="K45" s="17">
        <f>+'Tata-input'!K90*'Tata-input'!K93</f>
        <v>57296.4</v>
      </c>
      <c r="L45" s="34">
        <f>+'Tata-input'!B9</f>
        <v>38546.25</v>
      </c>
      <c r="M45" s="34"/>
      <c r="T45" s="19"/>
      <c r="U45" s="19"/>
      <c r="V45" s="19"/>
      <c r="W45" s="19"/>
      <c r="X45" s="19"/>
      <c r="Y45" s="19"/>
    </row>
    <row r="46" spans="1:25" s="2" customFormat="1" x14ac:dyDescent="0.3">
      <c r="A46" t="s">
        <v>95</v>
      </c>
      <c r="B46" s="21">
        <f>+'Tata-input'!B69+'Tata-input'!B64</f>
        <v>3388.65</v>
      </c>
      <c r="C46" s="21">
        <f>+'Tata-input'!C69+'Tata-input'!C64</f>
        <v>3813.49</v>
      </c>
      <c r="D46" s="21">
        <f>+'Tata-input'!D69+'Tata-input'!D64</f>
        <v>3513.25</v>
      </c>
      <c r="E46" s="21">
        <f>+'Tata-input'!E69+'Tata-input'!E64</f>
        <v>2545.77</v>
      </c>
      <c r="F46" s="21">
        <f>+'Tata-input'!F69+'Tata-input'!F64</f>
        <v>2343.35</v>
      </c>
      <c r="G46" s="21">
        <f>+'Tata-input'!G69+'Tata-input'!G64</f>
        <v>2472.23</v>
      </c>
      <c r="H46" s="21">
        <f>+'Tata-input'!H69+'Tata-input'!H64</f>
        <v>3160.46</v>
      </c>
      <c r="I46" s="21">
        <f>+'Tata-input'!I69+'Tata-input'!I64</f>
        <v>2308.62</v>
      </c>
      <c r="J46" s="21">
        <f>+'Tata-input'!J69+'Tata-input'!J64</f>
        <v>3013.12</v>
      </c>
      <c r="K46" s="21">
        <f>+'Tata-input'!K69+'Tata-input'!K64</f>
        <v>2450.67</v>
      </c>
      <c r="L46" s="34">
        <f>+K46</f>
        <v>2450.67</v>
      </c>
      <c r="T46" s="19"/>
      <c r="U46" s="19"/>
      <c r="V46" s="19"/>
      <c r="W46" s="19"/>
      <c r="X46" s="19"/>
      <c r="Y46" s="19"/>
    </row>
    <row r="47" spans="1:25" s="2" customFormat="1" x14ac:dyDescent="0.3">
      <c r="T47" s="23"/>
      <c r="U47" s="23"/>
      <c r="V47" s="19"/>
      <c r="W47" s="19"/>
      <c r="X47" s="19"/>
      <c r="Y47" s="19"/>
    </row>
    <row r="48" spans="1:25" x14ac:dyDescent="0.3">
      <c r="A48" s="2" t="s">
        <v>87</v>
      </c>
      <c r="B48" s="36">
        <f>+'Tata-input'!B59</f>
        <v>13075.72</v>
      </c>
      <c r="C48" s="18">
        <f>+'Tata-input'!C59</f>
        <v>14230.86</v>
      </c>
      <c r="D48" s="18">
        <f>+'Tata-input'!D59</f>
        <v>9213.6</v>
      </c>
      <c r="E48" s="18">
        <f>+'Tata-input'!E59</f>
        <v>8926.9699999999993</v>
      </c>
      <c r="F48" s="18">
        <f>+'Tata-input'!F59</f>
        <v>9934.94</v>
      </c>
      <c r="G48" s="18">
        <f>+'Tata-input'!G59</f>
        <v>12413.49</v>
      </c>
      <c r="H48" s="18">
        <f>+'Tata-input'!H59</f>
        <v>11393.6</v>
      </c>
      <c r="I48" s="18">
        <f>+'Tata-input'!I59</f>
        <v>9121.5400000000009</v>
      </c>
      <c r="J48" s="18">
        <f>+'Tata-input'!J59</f>
        <v>8576.64</v>
      </c>
      <c r="K48" s="18">
        <f>+'Tata-input'!K59</f>
        <v>11263.17</v>
      </c>
      <c r="L48" s="2"/>
      <c r="M48" s="2"/>
      <c r="N48" s="19" t="s">
        <v>117</v>
      </c>
      <c r="O48" s="20">
        <f>IF(B48=0,"",POWER($K48/B48,1/9)-1)</f>
        <v>-1.6443195154173473E-2</v>
      </c>
      <c r="P48" s="20">
        <f>IF(D48=0,"",POWER($K48/D48,1/7)-1)</f>
        <v>2.9109558946956993E-2</v>
      </c>
      <c r="Q48" s="20">
        <f>IF(F48=0,"",POWER($K48/F48,1/5)-1)</f>
        <v>2.5413611671072589E-2</v>
      </c>
      <c r="R48" s="20">
        <f>IF(H48=0,"",POWER($K48/H48, 1/3)-1)</f>
        <v>-3.8305392368921387E-3</v>
      </c>
      <c r="S48" s="20">
        <f>IF(ISERROR(MAX(IF(J48=0,"",(K48-J48)/J48),IF(K48=0,"",(L48-K48)/K48))),"",MAX(IF(J48=0,"",(K48-J48)/J48),IF(K48=0,"",(L48-K48)/K48)))</f>
        <v>0.31323805126483106</v>
      </c>
      <c r="T48" s="19"/>
      <c r="U48" s="19"/>
      <c r="V48" s="23"/>
      <c r="W48" s="23"/>
      <c r="X48" s="23"/>
      <c r="Y48" s="23"/>
    </row>
    <row r="49" spans="1:25" s="2" customFormat="1" x14ac:dyDescent="0.3">
      <c r="A49" s="2" t="s">
        <v>118</v>
      </c>
      <c r="B49" s="21">
        <f>+'Tata-input'!B57+'Tata-input'!B58</f>
        <v>321.47000000000003</v>
      </c>
      <c r="C49" s="21">
        <f>+'Tata-input'!C57+'Tata-input'!C58</f>
        <v>-363.36</v>
      </c>
      <c r="D49" s="21">
        <f>+'Tata-input'!D57+'Tata-input'!D58</f>
        <v>1591.9</v>
      </c>
      <c r="E49" s="21">
        <f>+'Tata-input'!E57+'Tata-input'!E58</f>
        <v>499.32</v>
      </c>
      <c r="F49" s="21">
        <f>+'Tata-input'!F57+'Tata-input'!F58</f>
        <v>-181.81</v>
      </c>
      <c r="G49" s="21">
        <f>+'Tata-input'!G57+'Tata-input'!G58</f>
        <v>-1278.3599999999999</v>
      </c>
      <c r="H49" s="21">
        <f>+'Tata-input'!H57+'Tata-input'!H58</f>
        <v>115.46000000000001</v>
      </c>
      <c r="I49" s="21">
        <f>+'Tata-input'!I57+'Tata-input'!I58</f>
        <v>927.59</v>
      </c>
      <c r="J49" s="21">
        <f>+'Tata-input'!J57+'Tata-input'!J58</f>
        <v>1518.26</v>
      </c>
      <c r="K49" s="21">
        <f>+'Tata-input'!K57+'Tata-input'!K58</f>
        <v>1786.42</v>
      </c>
      <c r="L49" s="34"/>
      <c r="M49" s="34"/>
      <c r="N49" s="19" t="s">
        <v>119</v>
      </c>
      <c r="O49" s="20">
        <f>IF(B49=0,"",POWER($K49/B49,1/9)-1)</f>
        <v>0.20993028355085941</v>
      </c>
      <c r="P49" s="20">
        <f>IF(D49=0,"",POWER($K49/D49,1/7)-1)</f>
        <v>1.6605702210841899E-2</v>
      </c>
      <c r="Q49" s="20">
        <f>IF(F49=0,"",POWER($K49/F49,1/5)-1)</f>
        <v>-2.5793310038469786</v>
      </c>
      <c r="R49" s="20">
        <f>IF(H49=0,"",POWER($K49/H49, 1/3)-1)</f>
        <v>1.4918238581718204</v>
      </c>
      <c r="S49" s="20">
        <f>IF(ISERROR(MAX(IF(J49=0,"",(K49-J49)/J49),IF(K49=0,"",(L49-K49)/K49))),"",MAX(IF(J49=0,"",(K49-J49)/J49),IF(K49=0,"",(L49-K49)/K49)))</f>
        <v>0.17662323976130576</v>
      </c>
      <c r="T49" s="19"/>
      <c r="U49" s="19"/>
      <c r="V49" s="19"/>
      <c r="W49" s="19"/>
      <c r="X49" s="19"/>
      <c r="Y49" s="19"/>
    </row>
    <row r="50" spans="1:25" s="2" customFormat="1" x14ac:dyDescent="0.3">
      <c r="A50" s="2" t="s">
        <v>120</v>
      </c>
      <c r="B50" s="46">
        <f t="shared" ref="B50:K50" si="12">B48/B49</f>
        <v>40.674775251189843</v>
      </c>
      <c r="C50" s="46">
        <f t="shared" si="12"/>
        <v>-39.164630118890358</v>
      </c>
      <c r="D50" s="46">
        <f t="shared" si="12"/>
        <v>5.7878007412525907</v>
      </c>
      <c r="E50" s="46">
        <f t="shared" si="12"/>
        <v>17.878254426019385</v>
      </c>
      <c r="F50" s="46">
        <f t="shared" si="12"/>
        <v>-54.644629008305373</v>
      </c>
      <c r="G50" s="46">
        <f t="shared" si="12"/>
        <v>-9.7104806157889794</v>
      </c>
      <c r="H50" s="46">
        <f t="shared" si="12"/>
        <v>98.680062359258613</v>
      </c>
      <c r="I50" s="46">
        <f t="shared" si="12"/>
        <v>9.8335902715639456</v>
      </c>
      <c r="J50" s="46">
        <f t="shared" si="12"/>
        <v>5.6489929261127863</v>
      </c>
      <c r="K50" s="46">
        <f t="shared" si="12"/>
        <v>6.3048835100368334</v>
      </c>
      <c r="L50"/>
      <c r="M50"/>
      <c r="R50" s="19"/>
      <c r="S50" s="19"/>
      <c r="T50" s="19"/>
      <c r="U50" s="19"/>
      <c r="V50" s="19"/>
      <c r="W50" s="19"/>
      <c r="X50" s="19"/>
      <c r="Y50" s="19"/>
    </row>
    <row r="51" spans="1:25" s="2" customFormat="1" x14ac:dyDescent="0.3">
      <c r="A51" s="2" t="s">
        <v>121</v>
      </c>
      <c r="B51" s="47">
        <v>0.12</v>
      </c>
      <c r="C51"/>
      <c r="D51"/>
      <c r="E51"/>
      <c r="F51"/>
      <c r="G51"/>
      <c r="H51"/>
      <c r="I51"/>
      <c r="J51"/>
      <c r="K51"/>
      <c r="L51"/>
      <c r="M51"/>
      <c r="P51"/>
      <c r="R51" s="19"/>
      <c r="S51" s="19"/>
      <c r="T51" s="19"/>
      <c r="U51" s="19"/>
      <c r="V51" s="19"/>
      <c r="W51" s="19"/>
      <c r="X51" s="19"/>
      <c r="Y51" s="19"/>
    </row>
    <row r="52" spans="1:25" s="2" customFormat="1" x14ac:dyDescent="0.3">
      <c r="A52" t="s">
        <v>122</v>
      </c>
      <c r="B52"/>
      <c r="C52" s="44">
        <f t="shared" ref="C52:K52" si="13">AVERAGE(B48:C48)*$B$51</f>
        <v>1638.3948</v>
      </c>
      <c r="D52" s="44">
        <f t="shared" si="13"/>
        <v>1406.6676</v>
      </c>
      <c r="E52" s="44">
        <f t="shared" si="13"/>
        <v>1088.4341999999999</v>
      </c>
      <c r="F52" s="44">
        <f t="shared" si="13"/>
        <v>1131.7146</v>
      </c>
      <c r="G52" s="44">
        <f t="shared" si="13"/>
        <v>1340.9058</v>
      </c>
      <c r="H52" s="44">
        <f t="shared" si="13"/>
        <v>1428.4253999999999</v>
      </c>
      <c r="I52" s="44">
        <f t="shared" si="13"/>
        <v>1230.9084</v>
      </c>
      <c r="J52" s="44">
        <f t="shared" si="13"/>
        <v>1061.8907999999999</v>
      </c>
      <c r="K52" s="44">
        <f t="shared" si="13"/>
        <v>1190.3885999999998</v>
      </c>
      <c r="L52"/>
      <c r="M52" s="44">
        <f>+SUM(C52:K52)</f>
        <v>11517.7302</v>
      </c>
      <c r="Q52" s="48"/>
      <c r="R52"/>
      <c r="S52"/>
      <c r="T52" s="19"/>
      <c r="U52" s="19"/>
      <c r="V52" s="19"/>
      <c r="W52" s="19"/>
      <c r="X52" s="19"/>
      <c r="Y52" s="19"/>
    </row>
    <row r="53" spans="1:25" s="2" customFormat="1" x14ac:dyDescent="0.3">
      <c r="A53" t="s">
        <v>123</v>
      </c>
      <c r="B53"/>
      <c r="C53" s="49">
        <f t="shared" ref="C53:K53" si="14">C4/C52</f>
        <v>1.4857469030053083</v>
      </c>
      <c r="D53" s="49">
        <f t="shared" si="14"/>
        <v>1.7103543154047194</v>
      </c>
      <c r="E53" s="49">
        <f t="shared" si="14"/>
        <v>2.216229515757588</v>
      </c>
      <c r="F53" s="49">
        <f t="shared" si="14"/>
        <v>2.4253906417748787</v>
      </c>
      <c r="G53" s="49">
        <f t="shared" si="14"/>
        <v>2.4527822908962005</v>
      </c>
      <c r="H53" s="49">
        <f t="shared" si="14"/>
        <v>2.9827108927074502</v>
      </c>
      <c r="I53" s="49">
        <f t="shared" si="14"/>
        <v>3.4338217206089432</v>
      </c>
      <c r="J53" s="49">
        <f t="shared" si="14"/>
        <v>4.0665480857353691</v>
      </c>
      <c r="K53" s="49">
        <f t="shared" si="14"/>
        <v>3.5535454556604451</v>
      </c>
      <c r="L53"/>
      <c r="M53"/>
      <c r="O53"/>
      <c r="P53" s="20"/>
      <c r="Q53" s="26"/>
      <c r="R53"/>
      <c r="S53"/>
      <c r="T53"/>
      <c r="U53"/>
      <c r="V53" s="19"/>
      <c r="W53" s="19"/>
      <c r="X53" s="19"/>
      <c r="Y53" s="19"/>
    </row>
    <row r="54" spans="1:25" x14ac:dyDescent="0.3">
      <c r="N54" s="21"/>
      <c r="P54" s="24"/>
      <c r="Q54" s="48"/>
    </row>
    <row r="55" spans="1:25" x14ac:dyDescent="0.3">
      <c r="B55" s="14">
        <f t="shared" ref="B55:K55" si="15">+B2</f>
        <v>42094</v>
      </c>
      <c r="C55" s="14">
        <f t="shared" si="15"/>
        <v>42460</v>
      </c>
      <c r="D55" s="14">
        <f t="shared" si="15"/>
        <v>42825</v>
      </c>
      <c r="E55" s="14">
        <f t="shared" si="15"/>
        <v>43190</v>
      </c>
      <c r="F55" s="14">
        <f t="shared" si="15"/>
        <v>43555</v>
      </c>
      <c r="G55" s="14">
        <f t="shared" si="15"/>
        <v>43921</v>
      </c>
      <c r="H55" s="14">
        <f t="shared" si="15"/>
        <v>44286</v>
      </c>
      <c r="I55" s="14">
        <f t="shared" si="15"/>
        <v>44651</v>
      </c>
      <c r="J55" s="14">
        <f t="shared" si="15"/>
        <v>45016</v>
      </c>
      <c r="K55" s="14">
        <f t="shared" si="15"/>
        <v>45382</v>
      </c>
      <c r="L55" s="14"/>
      <c r="M55" s="14" t="str">
        <f>+M2</f>
        <v>Total 10 Yrs</v>
      </c>
      <c r="N55" s="19"/>
      <c r="O55" s="24"/>
      <c r="Q55" s="50"/>
    </row>
    <row r="56" spans="1:25" x14ac:dyDescent="0.3">
      <c r="A56" s="2" t="s">
        <v>80</v>
      </c>
      <c r="B56" s="18">
        <f>+'Tata-input'!B82</f>
        <v>3028.34</v>
      </c>
      <c r="C56" s="18">
        <f>+'Tata-input'!C82</f>
        <v>2362.69</v>
      </c>
      <c r="D56" s="18">
        <f>+'Tata-input'!D82</f>
        <v>2393.5</v>
      </c>
      <c r="E56" s="18">
        <f>+'Tata-input'!E82</f>
        <v>1712.81</v>
      </c>
      <c r="F56" s="18">
        <f>+'Tata-input'!F82</f>
        <v>1844.33</v>
      </c>
      <c r="G56" s="18">
        <f>+'Tata-input'!G82</f>
        <v>2524.7600000000002</v>
      </c>
      <c r="H56" s="18">
        <f>+'Tata-input'!H82</f>
        <v>3179.83</v>
      </c>
      <c r="I56" s="18">
        <f>+'Tata-input'!I82</f>
        <v>4203.82</v>
      </c>
      <c r="J56" s="18">
        <f>+'Tata-input'!J82</f>
        <v>4384.3500000000004</v>
      </c>
      <c r="K56" s="18">
        <f>+'Tata-input'!K82</f>
        <v>3182</v>
      </c>
      <c r="L56" s="31"/>
      <c r="M56" s="18">
        <f>SUM(B56:K56)</f>
        <v>28816.43</v>
      </c>
      <c r="N56" s="19"/>
      <c r="O56" s="2"/>
      <c r="Q56" s="70" t="s">
        <v>165</v>
      </c>
      <c r="R56" s="70" t="s">
        <v>166</v>
      </c>
      <c r="S56" s="70" t="s">
        <v>167</v>
      </c>
      <c r="T56" s="70" t="s">
        <v>168</v>
      </c>
    </row>
    <row r="57" spans="1:25" x14ac:dyDescent="0.3">
      <c r="A57" t="s">
        <v>124</v>
      </c>
      <c r="B57" s="21">
        <f>+'Tata-input'!B83</f>
        <v>-1908.16</v>
      </c>
      <c r="C57" s="21">
        <f>+'Tata-input'!C83</f>
        <v>-2313.36</v>
      </c>
      <c r="D57" s="21">
        <f>+'Tata-input'!D83</f>
        <v>939.87</v>
      </c>
      <c r="E57" s="21">
        <f>+'Tata-input'!E83</f>
        <v>-500.08</v>
      </c>
      <c r="F57" s="21">
        <f>+'Tata-input'!F83</f>
        <v>-2283.9499999999998</v>
      </c>
      <c r="G57" s="21">
        <f>+'Tata-input'!G83</f>
        <v>-1521.49</v>
      </c>
      <c r="H57" s="21">
        <f>+'Tata-input'!H83</f>
        <v>-2007.21</v>
      </c>
      <c r="I57" s="21">
        <f>+'Tata-input'!I83</f>
        <v>-893.58</v>
      </c>
      <c r="J57" s="21">
        <f>+'Tata-input'!J83</f>
        <v>-1835.93</v>
      </c>
      <c r="K57" s="21">
        <f>+'Tata-input'!K83</f>
        <v>-2641.48</v>
      </c>
      <c r="L57" s="27"/>
      <c r="M57" s="34">
        <f>SUM(B57:K57)</f>
        <v>-14965.37</v>
      </c>
      <c r="Q57" s="71" t="s">
        <v>2</v>
      </c>
      <c r="R57" s="72">
        <v>7.0000000000000007E-2</v>
      </c>
      <c r="S57" s="72">
        <v>0.12</v>
      </c>
      <c r="T57" s="72">
        <v>0.1</v>
      </c>
    </row>
    <row r="58" spans="1:25" x14ac:dyDescent="0.3">
      <c r="A58" t="s">
        <v>125</v>
      </c>
      <c r="B58" s="21">
        <f>+'Tata-input'!B84</f>
        <v>-1388.3</v>
      </c>
      <c r="C58" s="21">
        <f>+'Tata-input'!C84</f>
        <v>-8.58</v>
      </c>
      <c r="D58" s="21">
        <f>+'Tata-input'!D84</f>
        <v>-3275.72</v>
      </c>
      <c r="E58" s="21">
        <f>+'Tata-input'!E84</f>
        <v>-959.11</v>
      </c>
      <c r="F58" s="21">
        <f>+'Tata-input'!F84</f>
        <v>-27.7</v>
      </c>
      <c r="G58" s="21">
        <f>+'Tata-input'!G84</f>
        <v>-942.33</v>
      </c>
      <c r="H58" s="21">
        <f>+'Tata-input'!H84</f>
        <v>-1204.77</v>
      </c>
      <c r="I58" s="21">
        <f>+'Tata-input'!I84</f>
        <v>-3431.23</v>
      </c>
      <c r="J58" s="21">
        <f>+'Tata-input'!J84</f>
        <v>-2240.8000000000002</v>
      </c>
      <c r="K58" s="21">
        <f>+'Tata-input'!K84</f>
        <v>-812.95</v>
      </c>
      <c r="L58" s="27"/>
      <c r="M58" s="34">
        <f>SUM(B58:K58)</f>
        <v>-14291.489999999998</v>
      </c>
      <c r="Q58" s="71" t="s">
        <v>7</v>
      </c>
      <c r="R58" s="72">
        <v>0.04</v>
      </c>
      <c r="S58" s="72">
        <v>0.06</v>
      </c>
      <c r="T58" s="72">
        <v>0.05</v>
      </c>
    </row>
    <row r="59" spans="1:25" x14ac:dyDescent="0.3">
      <c r="A59" s="2" t="s">
        <v>126</v>
      </c>
      <c r="B59" s="21">
        <f>+'Tata-input'!B85</f>
        <v>-268.12</v>
      </c>
      <c r="C59" s="21">
        <f>+'Tata-input'!C85</f>
        <v>40.75</v>
      </c>
      <c r="D59" s="21">
        <f>+'Tata-input'!D85</f>
        <v>57.65</v>
      </c>
      <c r="E59" s="21">
        <f>+'Tata-input'!E85</f>
        <v>253.62</v>
      </c>
      <c r="F59" s="21">
        <f>+'Tata-input'!F85</f>
        <v>-467.32</v>
      </c>
      <c r="G59" s="21">
        <f>+'Tata-input'!G85</f>
        <v>60.94</v>
      </c>
      <c r="H59" s="21">
        <f>+'Tata-input'!H85</f>
        <v>-32.15</v>
      </c>
      <c r="I59" s="21">
        <f>+'Tata-input'!I85</f>
        <v>-120.99</v>
      </c>
      <c r="J59" s="21">
        <f>+'Tata-input'!J85</f>
        <v>307.62</v>
      </c>
      <c r="K59" s="21">
        <f>+'Tata-input'!K85</f>
        <v>-272.43</v>
      </c>
      <c r="L59" s="27"/>
      <c r="M59" s="34">
        <f>SUM(B59:K59)</f>
        <v>-440.42999999999995</v>
      </c>
      <c r="Q59" s="71" t="s">
        <v>6</v>
      </c>
      <c r="R59" s="72">
        <v>0.05</v>
      </c>
      <c r="S59" s="72">
        <v>0.09</v>
      </c>
      <c r="T59" s="72">
        <v>0.06</v>
      </c>
    </row>
    <row r="60" spans="1:25" x14ac:dyDescent="0.3">
      <c r="A60" t="s">
        <v>127</v>
      </c>
      <c r="B60" s="21">
        <f>+'Tata-input'!B69</f>
        <v>1621.15</v>
      </c>
      <c r="C60" s="21">
        <f>+'Tata-input'!C69</f>
        <v>1976.27</v>
      </c>
      <c r="D60" s="21">
        <f>+'Tata-input'!D69</f>
        <v>1079.29</v>
      </c>
      <c r="E60" s="21">
        <f>+'Tata-input'!E69</f>
        <v>1295.58</v>
      </c>
      <c r="F60" s="21">
        <f>+'Tata-input'!F69</f>
        <v>852.08</v>
      </c>
      <c r="G60" s="21">
        <f>+'Tata-input'!G69</f>
        <v>909.13</v>
      </c>
      <c r="H60" s="21">
        <f>+'Tata-input'!H69</f>
        <v>927.1</v>
      </c>
      <c r="I60" s="21">
        <f>+'Tata-input'!I69</f>
        <v>743.39</v>
      </c>
      <c r="J60" s="21">
        <f>+'Tata-input'!J69</f>
        <v>1062.57</v>
      </c>
      <c r="K60" s="21">
        <f>+'Tata-input'!K69</f>
        <v>842.45</v>
      </c>
      <c r="L60" s="27"/>
      <c r="M60" s="27"/>
      <c r="Q60" s="71" t="s">
        <v>9</v>
      </c>
      <c r="R60" s="72">
        <v>0.06</v>
      </c>
      <c r="S60" s="72">
        <v>0.1</v>
      </c>
      <c r="T60" s="72">
        <v>0.08</v>
      </c>
    </row>
    <row r="61" spans="1:25" x14ac:dyDescent="0.3">
      <c r="Q61" s="71" t="s">
        <v>169</v>
      </c>
      <c r="R61" s="72">
        <v>0.08</v>
      </c>
      <c r="S61" s="72">
        <v>0.12</v>
      </c>
      <c r="T61" s="72">
        <v>0.1</v>
      </c>
    </row>
    <row r="62" spans="1:25" x14ac:dyDescent="0.3">
      <c r="A62" t="s">
        <v>86</v>
      </c>
      <c r="B62" s="21">
        <f>N17</f>
        <v>3358.4</v>
      </c>
      <c r="Q62" s="71" t="s">
        <v>137</v>
      </c>
      <c r="R62" s="72">
        <v>7.0000000000000007E-2</v>
      </c>
      <c r="S62" s="72">
        <v>0.1</v>
      </c>
      <c r="T62" s="72">
        <v>0.1</v>
      </c>
    </row>
    <row r="63" spans="1:25" x14ac:dyDescent="0.3">
      <c r="A63" t="s">
        <v>89</v>
      </c>
      <c r="B63" s="21">
        <f>N18</f>
        <v>31036.5</v>
      </c>
    </row>
    <row r="64" spans="1:25" x14ac:dyDescent="0.3">
      <c r="A64" s="2">
        <f>'Tata-input'!B26</f>
        <v>2161.09</v>
      </c>
      <c r="B64" s="40">
        <f>N19</f>
        <v>9.2414542639352071</v>
      </c>
    </row>
    <row r="66" spans="1:20" x14ac:dyDescent="0.3">
      <c r="A66" t="s">
        <v>128</v>
      </c>
      <c r="B66" s="20">
        <f t="shared" ref="B66:K66" si="16">B9/B38</f>
        <v>0.14697473173637873</v>
      </c>
      <c r="C66" s="20">
        <f t="shared" si="16"/>
        <v>0.12907190000422328</v>
      </c>
      <c r="D66" s="20">
        <f t="shared" si="16"/>
        <v>0.17072501191836764</v>
      </c>
      <c r="E66" s="20">
        <f t="shared" si="16"/>
        <v>0.17656582571823934</v>
      </c>
      <c r="F66" s="20">
        <f t="shared" si="16"/>
        <v>0.18314541352544292</v>
      </c>
      <c r="G66" s="20">
        <f t="shared" si="16"/>
        <v>0.18465591807133042</v>
      </c>
      <c r="H66" s="20">
        <f t="shared" si="16"/>
        <v>0.20086357090213991</v>
      </c>
      <c r="I66" s="20">
        <f t="shared" si="16"/>
        <v>0.20158190230610265</v>
      </c>
      <c r="J66" s="20">
        <f t="shared" si="16"/>
        <v>0.21541909295419434</v>
      </c>
      <c r="K66" s="20">
        <f t="shared" si="16"/>
        <v>0.18338121435376217</v>
      </c>
      <c r="N66" t="b">
        <f>+OR('Tata-input'!H49="",'Tata-input'!I49="",'Tata-input'!J49="",'Tata-input'!K49="")</f>
        <v>0</v>
      </c>
    </row>
    <row r="67" spans="1:20" x14ac:dyDescent="0.3">
      <c r="A67" s="2" t="s">
        <v>129</v>
      </c>
    </row>
    <row r="68" spans="1:20" x14ac:dyDescent="0.3">
      <c r="A68" t="s">
        <v>130</v>
      </c>
      <c r="B68" s="26">
        <f>+('Tata-input'!B18-'Tata-input'!B19)/'Tata-input'!B17</f>
        <v>0</v>
      </c>
      <c r="C68" s="26">
        <f>+('Tata-input'!C18-'Tata-input'!C19)/'Tata-input'!C17</f>
        <v>0</v>
      </c>
      <c r="D68" s="26">
        <f>+('Tata-input'!D18-'Tata-input'!D19)/'Tata-input'!D17</f>
        <v>0</v>
      </c>
      <c r="E68" s="26">
        <f>+('Tata-input'!E18-'Tata-input'!E19)/'Tata-input'!E17</f>
        <v>0</v>
      </c>
      <c r="F68" s="26">
        <f>+('Tata-input'!F18-'Tata-input'!F19)/'Tata-input'!F17</f>
        <v>0</v>
      </c>
      <c r="G68" s="26">
        <f>+('Tata-input'!G18-'Tata-input'!G19)/'Tata-input'!G17</f>
        <v>0</v>
      </c>
      <c r="H68" s="26">
        <f>+('Tata-input'!H18-'Tata-input'!H19)/'Tata-input'!H17</f>
        <v>0</v>
      </c>
      <c r="I68" s="26">
        <f>+('Tata-input'!I18-'Tata-input'!I19)/'Tata-input'!I17</f>
        <v>0</v>
      </c>
      <c r="J68" s="26">
        <f>+('Tata-input'!J18-'Tata-input'!J19)/'Tata-input'!J17</f>
        <v>0</v>
      </c>
      <c r="K68" s="26">
        <f>+('Tata-input'!K18-'Tata-input'!K19)/'Tata-input'!K17</f>
        <v>0</v>
      </c>
      <c r="L68" s="22">
        <f>AVERAGE(B68:K68)</f>
        <v>0</v>
      </c>
    </row>
    <row r="69" spans="1:20" x14ac:dyDescent="0.3">
      <c r="A69" t="s">
        <v>131</v>
      </c>
      <c r="B69" s="26">
        <f>+'Tata-input'!B20/'Tata-input'!B17</f>
        <v>2.1777863482469541E-2</v>
      </c>
      <c r="C69" s="26">
        <f>+'Tata-input'!C20/'Tata-input'!C17</f>
        <v>1.3887587899438962E-2</v>
      </c>
      <c r="D69" s="26">
        <f>+'Tata-input'!D20/'Tata-input'!D17</f>
        <v>1.5380485399038465E-2</v>
      </c>
      <c r="E69" s="26">
        <f>+'Tata-input'!E20/'Tata-input'!E17</f>
        <v>1.5129661948199617E-2</v>
      </c>
      <c r="F69" s="26">
        <f>+'Tata-input'!F20/'Tata-input'!F17</f>
        <v>1.7177661657070065E-2</v>
      </c>
      <c r="G69" s="26">
        <f>+'Tata-input'!G20/'Tata-input'!G17</f>
        <v>1.7166637665009175E-2</v>
      </c>
      <c r="H69" s="26">
        <f>+'Tata-input'!H20/'Tata-input'!H17</f>
        <v>1.5737334869386731E-2</v>
      </c>
      <c r="I69" s="26">
        <f>+'Tata-input'!I20/'Tata-input'!I17</f>
        <v>1.6324329301579159E-2</v>
      </c>
      <c r="J69" s="26">
        <f>+'Tata-input'!J20/'Tata-input'!J17</f>
        <v>1.7747246648495987E-2</v>
      </c>
      <c r="K69" s="26">
        <f>+'Tata-input'!K20/'Tata-input'!K17</f>
        <v>1.696995825230032E-2</v>
      </c>
      <c r="L69" s="22">
        <f t="shared" ref="L69:L73" si="17">AVERAGE(B69:K69)</f>
        <v>1.6729876712298804E-2</v>
      </c>
    </row>
    <row r="70" spans="1:20" x14ac:dyDescent="0.3">
      <c r="A70" t="s">
        <v>132</v>
      </c>
      <c r="B70" s="26">
        <f>+'Tata-input'!B22/'Tata-input'!B17</f>
        <v>0.14107879441620541</v>
      </c>
      <c r="C70" s="26">
        <f>+'Tata-input'!C22/'Tata-input'!C17</f>
        <v>0.15095175490313842</v>
      </c>
      <c r="D70" s="26">
        <f>+'Tata-input'!D22/'Tata-input'!D17</f>
        <v>0.16114946142761552</v>
      </c>
      <c r="E70" s="26">
        <f>+'Tata-input'!E22/'Tata-input'!E17</f>
        <v>0.17753249672513624</v>
      </c>
      <c r="F70" s="26">
        <f>+'Tata-input'!F22/'Tata-input'!F17</f>
        <v>0.17910250863088842</v>
      </c>
      <c r="G70" s="26">
        <f>+'Tata-input'!G22/'Tata-input'!G17</f>
        <v>0.17806080270729005</v>
      </c>
      <c r="H70" s="26">
        <f>+'Tata-input'!H22/'Tata-input'!H17</f>
        <v>0.17830831398646793</v>
      </c>
      <c r="I70" s="26">
        <f>+'Tata-input'!I22/'Tata-input'!I17</f>
        <v>0.18178709013538635</v>
      </c>
      <c r="J70" s="26">
        <f>+'Tata-input'!J22/'Tata-input'!J17</f>
        <v>0.20167101499809961</v>
      </c>
      <c r="K70" s="26">
        <f>+'Tata-input'!K22/'Tata-input'!K17</f>
        <v>0.21236054293946915</v>
      </c>
      <c r="L70" s="22">
        <f t="shared" si="17"/>
        <v>0.17620027808696972</v>
      </c>
    </row>
    <row r="71" spans="1:20" x14ac:dyDescent="0.3">
      <c r="A71" s="59" t="s">
        <v>133</v>
      </c>
      <c r="B71" s="26">
        <f>+'Tata-input'!B23/'Tata-input'!B17</f>
        <v>8.7933013748572569E-2</v>
      </c>
      <c r="C71" s="26">
        <f>+'Tata-input'!C23/'Tata-input'!C17</f>
        <v>8.950838026997153E-2</v>
      </c>
      <c r="D71" s="26">
        <f>+'Tata-input'!D23/'Tata-input'!D17</f>
        <v>9.3272144351814704E-2</v>
      </c>
      <c r="E71" s="26">
        <f>+'Tata-input'!E23/'Tata-input'!E17</f>
        <v>9.0504892470585865E-2</v>
      </c>
      <c r="F71" s="26">
        <f>+'Tata-input'!F23/'Tata-input'!F17</f>
        <v>9.4883796925255448E-2</v>
      </c>
      <c r="G71" s="26">
        <f>+'Tata-input'!G23/'Tata-input'!G17</f>
        <v>8.0939817752412546E-2</v>
      </c>
      <c r="H71" s="26">
        <f>+'Tata-input'!H23/'Tata-input'!H17</f>
        <v>5.6940017894632197E-2</v>
      </c>
      <c r="I71" s="26">
        <f>+'Tata-input'!I23/'Tata-input'!I17</f>
        <v>5.8603636650636511E-2</v>
      </c>
      <c r="J71" s="26">
        <f>+'Tata-input'!J23/'Tata-input'!J17</f>
        <v>6.0713320693834491E-2</v>
      </c>
      <c r="K71" s="26">
        <f>+'Tata-input'!K23/'Tata-input'!K17</f>
        <v>6.4947860680763164E-2</v>
      </c>
      <c r="L71" s="22">
        <f t="shared" si="17"/>
        <v>7.7824688143847909E-2</v>
      </c>
    </row>
    <row r="72" spans="1:20" x14ac:dyDescent="0.3">
      <c r="A72" t="s">
        <v>134</v>
      </c>
      <c r="B72" s="26">
        <f>+'Tata-input'!B21/'Tata-input'!B17</f>
        <v>0.58227851279594489</v>
      </c>
      <c r="C72" s="26">
        <f>+'Tata-input'!C21/'Tata-input'!C17</f>
        <v>0.59171571549950452</v>
      </c>
      <c r="D72" s="26">
        <f>+'Tata-input'!D21/'Tata-input'!D17</f>
        <v>0.57468814788875888</v>
      </c>
      <c r="E72" s="26">
        <f>+'Tata-input'!E21/'Tata-input'!E17</f>
        <v>0.54887253461040608</v>
      </c>
      <c r="F72" s="26">
        <f>+'Tata-input'!F21/'Tata-input'!F17</f>
        <v>0.51370805963104271</v>
      </c>
      <c r="G72" s="26">
        <f>+'Tata-input'!G21/'Tata-input'!G17</f>
        <v>0.50798951721907504</v>
      </c>
      <c r="H72" s="26">
        <f>+'Tata-input'!H21/'Tata-input'!H17</f>
        <v>0.48082701270752809</v>
      </c>
      <c r="I72" s="26">
        <f>+'Tata-input'!I21/'Tata-input'!I17</f>
        <v>0.47545700289332027</v>
      </c>
      <c r="J72" s="26">
        <f>+'Tata-input'!J21/'Tata-input'!J17</f>
        <v>0.46076971632883479</v>
      </c>
      <c r="K72" s="26">
        <f>+'Tata-input'!K21/'Tata-input'!K17</f>
        <v>0.48398956164438439</v>
      </c>
      <c r="L72" s="22">
        <f t="shared" si="17"/>
        <v>0.52202957812187989</v>
      </c>
    </row>
    <row r="73" spans="1:20" x14ac:dyDescent="0.3">
      <c r="A73" t="s">
        <v>55</v>
      </c>
      <c r="B73" s="26">
        <f>+'Tata-input'!B24/'Tata-input'!B17</f>
        <v>1.6577831744950873E-2</v>
      </c>
      <c r="C73" s="26">
        <f>+'Tata-input'!C24/'Tata-input'!C17</f>
        <v>1.9808161299671927E-2</v>
      </c>
      <c r="D73" s="26">
        <f>+'Tata-input'!D24/'Tata-input'!D17</f>
        <v>1.8963968233338423E-2</v>
      </c>
      <c r="E73" s="26">
        <f>+'Tata-input'!E24/'Tata-input'!E17</f>
        <v>2.4133525005530152E-2</v>
      </c>
      <c r="F73" s="26">
        <f>+'Tata-input'!F24/'Tata-input'!F17</f>
        <v>2.9024596140986809E-2</v>
      </c>
      <c r="G73" s="26">
        <f>+'Tata-input'!G24/'Tata-input'!G17</f>
        <v>2.314625213630896E-2</v>
      </c>
      <c r="H73" s="26">
        <f>+'Tata-input'!H24/'Tata-input'!H17</f>
        <v>1.9032052444137755E-2</v>
      </c>
      <c r="I73" s="26">
        <f>+'Tata-input'!I24/'Tata-input'!I17</f>
        <v>1.5105176585810355E-2</v>
      </c>
      <c r="J73" s="26">
        <f>+'Tata-input'!J24/'Tata-input'!J17</f>
        <v>1.7021839574039174E-2</v>
      </c>
      <c r="K73" s="26">
        <f>+'Tata-input'!K24/'Tata-input'!K17</f>
        <v>1.9999217886366522E-2</v>
      </c>
      <c r="L73" s="22">
        <f t="shared" si="17"/>
        <v>2.0281262105114092E-2</v>
      </c>
    </row>
    <row r="74" spans="1:20" x14ac:dyDescent="0.3">
      <c r="L74" s="2"/>
      <c r="T74" s="2" t="s">
        <v>170</v>
      </c>
    </row>
    <row r="76" spans="1:20" x14ac:dyDescent="0.3">
      <c r="A76" s="97"/>
      <c r="B76" s="61">
        <f>B2</f>
        <v>42094</v>
      </c>
      <c r="C76" s="61">
        <f t="shared" ref="C76:K76" si="18">C2</f>
        <v>42460</v>
      </c>
      <c r="D76" s="61">
        <f t="shared" si="18"/>
        <v>42825</v>
      </c>
      <c r="E76" s="61">
        <f t="shared" si="18"/>
        <v>43190</v>
      </c>
      <c r="F76" s="61">
        <f t="shared" si="18"/>
        <v>43555</v>
      </c>
      <c r="G76" s="61">
        <f t="shared" si="18"/>
        <v>43921</v>
      </c>
      <c r="H76" s="61">
        <f t="shared" si="18"/>
        <v>44286</v>
      </c>
      <c r="I76" s="61">
        <f t="shared" si="18"/>
        <v>44651</v>
      </c>
      <c r="J76" s="61">
        <f t="shared" si="18"/>
        <v>45016</v>
      </c>
      <c r="K76" s="61">
        <f t="shared" si="18"/>
        <v>45382</v>
      </c>
      <c r="L76" s="6">
        <v>45747</v>
      </c>
      <c r="M76" s="6">
        <v>46112</v>
      </c>
      <c r="N76" s="6">
        <v>46477</v>
      </c>
      <c r="O76" s="6">
        <v>46843</v>
      </c>
      <c r="P76" s="6">
        <v>47208</v>
      </c>
      <c r="Q76" s="6">
        <v>47573</v>
      </c>
      <c r="T76" s="3" t="s">
        <v>49</v>
      </c>
    </row>
    <row r="77" spans="1:20" x14ac:dyDescent="0.3">
      <c r="A77" s="110" t="s">
        <v>140</v>
      </c>
      <c r="B77" s="57">
        <f t="shared" ref="B77:K77" si="19">B3+B6</f>
        <v>20204.580000000002</v>
      </c>
      <c r="C77" s="57">
        <f t="shared" si="19"/>
        <v>18231</v>
      </c>
      <c r="D77" s="57">
        <f t="shared" si="19"/>
        <v>18913.55</v>
      </c>
      <c r="E77" s="57">
        <f t="shared" si="19"/>
        <v>16655.829999999998</v>
      </c>
      <c r="F77" s="57">
        <f t="shared" si="19"/>
        <v>16587.45</v>
      </c>
      <c r="G77" s="57">
        <f t="shared" si="19"/>
        <v>16747.16</v>
      </c>
      <c r="H77" s="57">
        <f t="shared" si="19"/>
        <v>17182.14</v>
      </c>
      <c r="I77" s="57">
        <f t="shared" si="19"/>
        <v>17062.78</v>
      </c>
      <c r="J77" s="57">
        <f t="shared" si="19"/>
        <v>18277.759999999998</v>
      </c>
      <c r="K77" s="57">
        <f t="shared" si="19"/>
        <v>21015.63</v>
      </c>
      <c r="L77" s="12">
        <f>K77*(1+$R$57)</f>
        <v>22486.724100000003</v>
      </c>
      <c r="M77" s="12">
        <f t="shared" ref="M77:Q77" si="20">L77*(1+$R$57)</f>
        <v>24060.794787000006</v>
      </c>
      <c r="N77" s="12">
        <f t="shared" si="20"/>
        <v>25745.050422090007</v>
      </c>
      <c r="O77" s="12">
        <f t="shared" si="20"/>
        <v>27547.203951636311</v>
      </c>
      <c r="P77" s="12">
        <f t="shared" si="20"/>
        <v>29475.508228250856</v>
      </c>
      <c r="Q77" s="12">
        <f t="shared" si="20"/>
        <v>31538.793804228419</v>
      </c>
      <c r="R77" s="22">
        <v>0.1</v>
      </c>
      <c r="T77" s="3" t="s">
        <v>50</v>
      </c>
    </row>
    <row r="78" spans="1:20" x14ac:dyDescent="0.3">
      <c r="A78" s="110" t="s">
        <v>141</v>
      </c>
      <c r="B78">
        <f>'Tata-input'!B18+'Tata-input'!B19+'Tata-input'!B20+'Tata-input'!B21</f>
        <v>12028.78</v>
      </c>
      <c r="C78">
        <f>'Tata-input'!C18+'Tata-input'!C19+'Tata-input'!C20+'Tata-input'!C21</f>
        <v>10990.84</v>
      </c>
      <c r="D78">
        <f>'Tata-input'!D18+'Tata-input'!D19+'Tata-input'!D20+'Tata-input'!D21</f>
        <v>10396.85</v>
      </c>
      <c r="E78">
        <f>'Tata-input'!E18+'Tata-input'!E19+'Tata-input'!E20+'Tata-input'!E21</f>
        <v>9459.27</v>
      </c>
      <c r="F78">
        <f>'Tata-input'!F18+'Tata-input'!F19+'Tata-input'!F20+'Tata-input'!F21</f>
        <v>8772.86</v>
      </c>
      <c r="G78">
        <f>'Tata-input'!G18+'Tata-input'!G19+'Tata-input'!G20+'Tata-input'!G21</f>
        <v>8963.36</v>
      </c>
      <c r="H78">
        <f>'Tata-input'!H18+'Tata-input'!H19+'Tata-input'!H20+'Tata-input'!H21</f>
        <v>8491.3000000000011</v>
      </c>
      <c r="I78">
        <f>'Tata-input'!I18+'Tata-input'!I19+'Tata-input'!I20+'Tata-input'!I21</f>
        <v>8224.91</v>
      </c>
      <c r="J78">
        <f>'Tata-input'!J18+'Tata-input'!J19+'Tata-input'!J20+'Tata-input'!J21</f>
        <v>8535.91</v>
      </c>
      <c r="K78">
        <f>'Tata-input'!K18+'Tata-input'!K19+'Tata-input'!K20+'Tata-input'!K21</f>
        <v>10504.53</v>
      </c>
      <c r="L78" s="12">
        <f>L77*$R$79</f>
        <v>11969.754931753349</v>
      </c>
      <c r="M78" s="12">
        <f t="shared" ref="M78:Q78" si="21">M77*$R$79</f>
        <v>12807.637776976084</v>
      </c>
      <c r="N78" s="12">
        <f t="shared" si="21"/>
        <v>13704.17242136441</v>
      </c>
      <c r="O78" s="12">
        <f t="shared" si="21"/>
        <v>14663.46449085992</v>
      </c>
      <c r="P78" s="12">
        <f t="shared" si="21"/>
        <v>15689.907005220117</v>
      </c>
      <c r="Q78" s="12">
        <f t="shared" si="21"/>
        <v>16788.200495585526</v>
      </c>
      <c r="T78" s="3" t="s">
        <v>51</v>
      </c>
    </row>
    <row r="79" spans="1:20" x14ac:dyDescent="0.3">
      <c r="A79" s="110" t="s">
        <v>171</v>
      </c>
      <c r="B79" s="60">
        <f>B78/B77</f>
        <v>0.59534917330625037</v>
      </c>
      <c r="C79" s="60">
        <f t="shared" ref="C79:K79" si="22">C78/C77</f>
        <v>0.60286544896056171</v>
      </c>
      <c r="D79" s="60">
        <f t="shared" si="22"/>
        <v>0.54970378379521567</v>
      </c>
      <c r="E79" s="60">
        <f t="shared" si="22"/>
        <v>0.56792546513743247</v>
      </c>
      <c r="F79" s="60">
        <f t="shared" si="22"/>
        <v>0.52888539226945674</v>
      </c>
      <c r="G79" s="60">
        <f t="shared" si="22"/>
        <v>0.53521671734192544</v>
      </c>
      <c r="H79" s="60">
        <f t="shared" si="22"/>
        <v>0.49419338918202282</v>
      </c>
      <c r="I79" s="60">
        <f t="shared" si="22"/>
        <v>0.48203809695723676</v>
      </c>
      <c r="J79" s="60">
        <f t="shared" si="22"/>
        <v>0.46701072779158936</v>
      </c>
      <c r="K79" s="60">
        <f t="shared" si="22"/>
        <v>0.49984368776953153</v>
      </c>
      <c r="L79" s="60">
        <f t="shared" ref="L79" si="23">L78/L77</f>
        <v>0.53230318825112222</v>
      </c>
      <c r="M79" s="60">
        <f t="shared" ref="M79" si="24">M78/M77</f>
        <v>0.53230318825112222</v>
      </c>
      <c r="N79" s="60">
        <f t="shared" ref="N79" si="25">N78/N77</f>
        <v>0.53230318825112222</v>
      </c>
      <c r="O79" s="60">
        <f t="shared" ref="O79" si="26">O78/O77</f>
        <v>0.53230318825112222</v>
      </c>
      <c r="P79" s="60">
        <f t="shared" ref="P79" si="27">P78/P77</f>
        <v>0.53230318825112222</v>
      </c>
      <c r="Q79" s="60">
        <f t="shared" ref="Q79" si="28">Q78/Q77</f>
        <v>0.53230318825112222</v>
      </c>
      <c r="R79" s="22">
        <f>AVERAGE(B79:K79)</f>
        <v>0.53230318825112222</v>
      </c>
      <c r="T79" s="3"/>
    </row>
    <row r="80" spans="1:20" x14ac:dyDescent="0.3">
      <c r="A80" s="112" t="s">
        <v>142</v>
      </c>
      <c r="B80" s="57">
        <f>B77-B78</f>
        <v>8175.8000000000011</v>
      </c>
      <c r="C80" s="57">
        <f t="shared" ref="C80:K80" si="29">C77-C78</f>
        <v>7240.16</v>
      </c>
      <c r="D80" s="57">
        <f t="shared" si="29"/>
        <v>8516.6999999999989</v>
      </c>
      <c r="E80" s="57">
        <f t="shared" si="29"/>
        <v>7196.5599999999977</v>
      </c>
      <c r="F80" s="57">
        <f t="shared" si="29"/>
        <v>7814.59</v>
      </c>
      <c r="G80" s="57">
        <f t="shared" si="29"/>
        <v>7783.7999999999993</v>
      </c>
      <c r="H80" s="57">
        <f t="shared" si="29"/>
        <v>8690.8399999999983</v>
      </c>
      <c r="I80" s="57">
        <f t="shared" si="29"/>
        <v>8837.869999999999</v>
      </c>
      <c r="J80" s="57">
        <f t="shared" si="29"/>
        <v>9741.8499999999985</v>
      </c>
      <c r="K80" s="57">
        <f t="shared" si="29"/>
        <v>10511.1</v>
      </c>
      <c r="L80" s="12">
        <f>L77-L78</f>
        <v>10516.969168246655</v>
      </c>
      <c r="M80" s="12">
        <f t="shared" ref="M80:Q80" si="30">M77-M78</f>
        <v>11253.157010023922</v>
      </c>
      <c r="N80" s="12">
        <f t="shared" si="30"/>
        <v>12040.878000725597</v>
      </c>
      <c r="O80" s="12">
        <f t="shared" si="30"/>
        <v>12883.739460776391</v>
      </c>
      <c r="P80" s="12">
        <f t="shared" si="30"/>
        <v>13785.601223030739</v>
      </c>
      <c r="Q80" s="12">
        <f t="shared" si="30"/>
        <v>14750.593308642892</v>
      </c>
      <c r="T80" s="3" t="s">
        <v>52</v>
      </c>
    </row>
    <row r="81" spans="1:18" x14ac:dyDescent="0.3">
      <c r="A81" s="110" t="s">
        <v>143</v>
      </c>
      <c r="B81">
        <f>'Tata-input'!B22+'Tata-input'!B23+'Tata-input'!B24</f>
        <v>4890.5099999999993</v>
      </c>
      <c r="C81">
        <f>'Tata-input'!C22+'Tata-input'!C23+'Tata-input'!C24</f>
        <v>4723.5</v>
      </c>
      <c r="D81">
        <f>'Tata-input'!D22+'Tata-input'!D23+'Tata-input'!D24</f>
        <v>4816.9800000000005</v>
      </c>
      <c r="E81">
        <f>'Tata-input'!E22+'Tata-input'!E23+'Tata-input'!E24</f>
        <v>4900.2000000000007</v>
      </c>
      <c r="F81">
        <f>'Tata-input'!F22+'Tata-input'!F23+'Tata-input'!F24</f>
        <v>5007.24</v>
      </c>
      <c r="G81">
        <f>'Tata-input'!G22+'Tata-input'!G23+'Tata-input'!G24</f>
        <v>4815.68</v>
      </c>
      <c r="H81">
        <f>'Tata-input'!H22+'Tata-input'!H23+'Tata-input'!H24</f>
        <v>4348.22</v>
      </c>
      <c r="I81">
        <f>'Tata-input'!I22+'Tata-input'!I23+'Tata-input'!I24</f>
        <v>4273.1000000000004</v>
      </c>
      <c r="J81">
        <f>'Tata-input'!J22+'Tata-input'!J23+'Tata-input'!J24</f>
        <v>4984.12</v>
      </c>
      <c r="K81">
        <f>'Tata-input'!K22+'Tata-input'!K23+'Tata-input'!K24</f>
        <v>6234.19</v>
      </c>
      <c r="L81" s="12">
        <f>L77*$R$82</f>
        <v>6099.0363001275027</v>
      </c>
      <c r="M81" s="12">
        <f t="shared" ref="M81:Q81" si="31">M77*$R$82</f>
        <v>6525.9688411364295</v>
      </c>
      <c r="N81" s="12">
        <f t="shared" si="31"/>
        <v>6982.7866600159796</v>
      </c>
      <c r="O81" s="12">
        <f t="shared" si="31"/>
        <v>7471.5817262170985</v>
      </c>
      <c r="P81" s="12">
        <f t="shared" si="31"/>
        <v>7994.5924470522968</v>
      </c>
      <c r="Q81" s="12">
        <f t="shared" si="31"/>
        <v>8554.2139183459585</v>
      </c>
      <c r="R81" s="22"/>
    </row>
    <row r="82" spans="1:18" x14ac:dyDescent="0.3">
      <c r="A82" s="110" t="s">
        <v>172</v>
      </c>
      <c r="B82" s="60">
        <f>B81/B77</f>
        <v>0.24204957489836457</v>
      </c>
      <c r="C82" s="60">
        <f t="shared" ref="C82:K82" si="32">C81/C77</f>
        <v>0.25909165706763204</v>
      </c>
      <c r="D82" s="60">
        <f t="shared" si="32"/>
        <v>0.25468407570234042</v>
      </c>
      <c r="E82" s="60">
        <f t="shared" si="32"/>
        <v>0.29420329097979514</v>
      </c>
      <c r="F82" s="60">
        <f t="shared" si="32"/>
        <v>0.30186918423265779</v>
      </c>
      <c r="G82" s="60">
        <f t="shared" si="32"/>
        <v>0.28755203867401996</v>
      </c>
      <c r="H82" s="60">
        <f t="shared" si="32"/>
        <v>0.25306626531968662</v>
      </c>
      <c r="I82" s="60">
        <f t="shared" si="32"/>
        <v>0.2504339855521785</v>
      </c>
      <c r="J82" s="60">
        <f t="shared" si="32"/>
        <v>0.27268768164151408</v>
      </c>
      <c r="K82" s="60">
        <f t="shared" si="32"/>
        <v>0.29664540154161445</v>
      </c>
      <c r="L82" s="60"/>
      <c r="R82" s="22">
        <f>AVERAGE(B82:L82)</f>
        <v>0.27122831556098037</v>
      </c>
    </row>
    <row r="83" spans="1:18" x14ac:dyDescent="0.3">
      <c r="A83" s="110" t="s">
        <v>144</v>
      </c>
      <c r="B83" s="57">
        <f>B80-B81</f>
        <v>3285.2900000000018</v>
      </c>
      <c r="C83" s="57">
        <f t="shared" ref="C83:K83" si="33">C80-C81</f>
        <v>2516.66</v>
      </c>
      <c r="D83" s="57">
        <f t="shared" si="33"/>
        <v>3699.7199999999984</v>
      </c>
      <c r="E83" s="57">
        <f t="shared" si="33"/>
        <v>2296.3599999999969</v>
      </c>
      <c r="F83" s="57">
        <f t="shared" si="33"/>
        <v>2807.3500000000004</v>
      </c>
      <c r="G83" s="57">
        <f t="shared" si="33"/>
        <v>2968.119999999999</v>
      </c>
      <c r="H83" s="57">
        <f t="shared" si="33"/>
        <v>4342.6199999999981</v>
      </c>
      <c r="I83" s="57">
        <f t="shared" si="33"/>
        <v>4564.7699999999986</v>
      </c>
      <c r="J83" s="57">
        <f t="shared" si="33"/>
        <v>4757.7299999999987</v>
      </c>
      <c r="K83" s="57">
        <f t="shared" si="33"/>
        <v>4276.9100000000008</v>
      </c>
      <c r="L83" s="12">
        <f>L80-L81</f>
        <v>4417.9328681191519</v>
      </c>
      <c r="M83" s="12">
        <f t="shared" ref="M83:Q83" si="34">M80-M81</f>
        <v>4727.1881688874928</v>
      </c>
      <c r="N83" s="12">
        <f t="shared" si="34"/>
        <v>5058.0913407096177</v>
      </c>
      <c r="O83" s="12">
        <f t="shared" si="34"/>
        <v>5412.1577345592923</v>
      </c>
      <c r="P83" s="12">
        <f t="shared" si="34"/>
        <v>5791.0087759784419</v>
      </c>
      <c r="Q83" s="12">
        <f t="shared" si="34"/>
        <v>6196.3793902969337</v>
      </c>
    </row>
    <row r="84" spans="1:18" x14ac:dyDescent="0.3">
      <c r="A84" s="110" t="s">
        <v>145</v>
      </c>
      <c r="B84">
        <f>'Tata-input'!B26</f>
        <v>2161.09</v>
      </c>
      <c r="C84">
        <f>'Tata-input'!C26</f>
        <v>1864.29</v>
      </c>
      <c r="D84">
        <f>'Tata-input'!D26</f>
        <v>1865.77</v>
      </c>
      <c r="E84">
        <f>'Tata-input'!E26</f>
        <v>1906.3</v>
      </c>
      <c r="F84">
        <f>'Tata-input'!F26</f>
        <v>2067.6</v>
      </c>
      <c r="G84">
        <f>'Tata-input'!G26</f>
        <v>2357.7199999999998</v>
      </c>
      <c r="H84">
        <f>'Tata-input'!H26</f>
        <v>2313.87</v>
      </c>
      <c r="I84">
        <f>'Tata-input'!I26</f>
        <v>2204.54</v>
      </c>
      <c r="J84">
        <f>'Tata-input'!J26</f>
        <v>2261.81</v>
      </c>
      <c r="K84">
        <f>'Tata-input'!K26</f>
        <v>2469.67</v>
      </c>
      <c r="L84" s="12">
        <f>L77*$R$85</f>
        <v>2682.4018140974731</v>
      </c>
      <c r="M84" s="12">
        <f t="shared" ref="M84:Q84" si="35">M77*$R$85</f>
        <v>2870.1699410842966</v>
      </c>
      <c r="N84" s="12">
        <f t="shared" si="35"/>
        <v>3071.0818369601975</v>
      </c>
      <c r="O84" s="12">
        <f t="shared" si="35"/>
        <v>3286.0575655474117</v>
      </c>
      <c r="P84" s="12">
        <f t="shared" si="35"/>
        <v>3516.0815951357308</v>
      </c>
      <c r="Q84" s="12">
        <f t="shared" si="35"/>
        <v>3762.2073067952324</v>
      </c>
    </row>
    <row r="85" spans="1:18" x14ac:dyDescent="0.3">
      <c r="A85" s="110" t="s">
        <v>173</v>
      </c>
      <c r="B85" s="60">
        <f>B84/B77</f>
        <v>0.10696040204745656</v>
      </c>
      <c r="C85" s="60">
        <f t="shared" ref="C85:K85" si="36">C84/C77</f>
        <v>0.1022593384893862</v>
      </c>
      <c r="D85" s="60">
        <f t="shared" si="36"/>
        <v>9.8647266113447762E-2</v>
      </c>
      <c r="E85" s="60">
        <f t="shared" si="36"/>
        <v>0.11445241696150839</v>
      </c>
      <c r="F85" s="60">
        <f t="shared" si="36"/>
        <v>0.12464845410234845</v>
      </c>
      <c r="G85" s="60">
        <f t="shared" si="36"/>
        <v>0.14078327310421587</v>
      </c>
      <c r="H85" s="60">
        <f t="shared" si="36"/>
        <v>0.13466716020239622</v>
      </c>
      <c r="I85" s="60">
        <f t="shared" si="36"/>
        <v>0.12920168929095963</v>
      </c>
      <c r="J85" s="60">
        <f t="shared" si="36"/>
        <v>0.12374656413039672</v>
      </c>
      <c r="K85" s="60">
        <f t="shared" si="36"/>
        <v>0.11751586795161506</v>
      </c>
      <c r="R85" s="22">
        <f>AVERAGE(B85:K85)</f>
        <v>0.11928824323937308</v>
      </c>
    </row>
    <row r="86" spans="1:18" x14ac:dyDescent="0.3">
      <c r="A86" s="111" t="s">
        <v>146</v>
      </c>
      <c r="B86" s="57">
        <f>B83-B84</f>
        <v>1124.2000000000016</v>
      </c>
      <c r="C86" s="57">
        <f t="shared" ref="C86:K86" si="37">C83-C84</f>
        <v>652.36999999999989</v>
      </c>
      <c r="D86" s="57">
        <f t="shared" si="37"/>
        <v>1833.9499999999985</v>
      </c>
      <c r="E86" s="57">
        <f t="shared" si="37"/>
        <v>390.05999999999699</v>
      </c>
      <c r="F86" s="57">
        <f t="shared" si="37"/>
        <v>739.75000000000045</v>
      </c>
      <c r="G86" s="57">
        <f t="shared" si="37"/>
        <v>610.39999999999918</v>
      </c>
      <c r="H86" s="57">
        <f t="shared" si="37"/>
        <v>2028.7499999999982</v>
      </c>
      <c r="I86" s="57">
        <f t="shared" si="37"/>
        <v>2360.2299999999987</v>
      </c>
      <c r="J86" s="57">
        <f t="shared" si="37"/>
        <v>2495.9199999999987</v>
      </c>
      <c r="K86" s="57">
        <f t="shared" si="37"/>
        <v>1807.2400000000007</v>
      </c>
      <c r="L86" s="12">
        <f>L83-L84</f>
        <v>1735.5310540216788</v>
      </c>
      <c r="M86" s="12">
        <f t="shared" ref="M86:Q86" si="38">M83-M84</f>
        <v>1857.0182278031962</v>
      </c>
      <c r="N86" s="12">
        <f t="shared" si="38"/>
        <v>1987.0095037494202</v>
      </c>
      <c r="O86" s="12">
        <f t="shared" si="38"/>
        <v>2126.1001690118806</v>
      </c>
      <c r="P86" s="12">
        <f t="shared" si="38"/>
        <v>2274.9271808427111</v>
      </c>
      <c r="Q86" s="12">
        <f t="shared" si="38"/>
        <v>2434.1720835017013</v>
      </c>
    </row>
    <row r="87" spans="1:18" x14ac:dyDescent="0.3">
      <c r="A87" s="110" t="s">
        <v>147</v>
      </c>
      <c r="B87" s="23">
        <f t="shared" ref="B87:K87" si="39">B8</f>
        <v>750.79</v>
      </c>
      <c r="C87" s="23">
        <f t="shared" si="39"/>
        <v>409.06</v>
      </c>
      <c r="D87" s="23">
        <f t="shared" si="39"/>
        <v>367.19</v>
      </c>
      <c r="E87" s="23">
        <f t="shared" si="39"/>
        <v>344.45</v>
      </c>
      <c r="F87" s="23">
        <f t="shared" si="39"/>
        <v>396.55</v>
      </c>
      <c r="G87" s="23">
        <f t="shared" si="39"/>
        <v>470.74</v>
      </c>
      <c r="H87" s="23">
        <f t="shared" si="39"/>
        <v>420.2</v>
      </c>
      <c r="I87" s="23">
        <f t="shared" si="39"/>
        <v>360.25</v>
      </c>
      <c r="J87" s="23">
        <f t="shared" si="39"/>
        <v>432.46</v>
      </c>
      <c r="K87" s="23">
        <f t="shared" si="39"/>
        <v>644.15</v>
      </c>
      <c r="L87" s="12">
        <f>L77*$R$88</f>
        <v>565.7370286428029</v>
      </c>
      <c r="M87" s="12">
        <f t="shared" ref="M87:Q87" si="40">M77*$R$88</f>
        <v>605.33862064779908</v>
      </c>
      <c r="N87" s="12">
        <f t="shared" si="40"/>
        <v>647.71232409314507</v>
      </c>
      <c r="O87" s="12">
        <f t="shared" si="40"/>
        <v>693.05218677966536</v>
      </c>
      <c r="P87" s="12">
        <f t="shared" si="40"/>
        <v>741.56583985424197</v>
      </c>
      <c r="Q87" s="12">
        <f t="shared" si="40"/>
        <v>793.47544864403892</v>
      </c>
    </row>
    <row r="88" spans="1:18" x14ac:dyDescent="0.3">
      <c r="A88" s="110" t="s">
        <v>174</v>
      </c>
      <c r="B88" s="60">
        <f>B87/B77</f>
        <v>3.7159396532865319E-2</v>
      </c>
      <c r="C88" s="60">
        <f t="shared" ref="C88:K88" si="41">C87/C77</f>
        <v>2.2437606275026056E-2</v>
      </c>
      <c r="D88" s="60">
        <f t="shared" si="41"/>
        <v>1.9414123736686134E-2</v>
      </c>
      <c r="E88" s="60">
        <f t="shared" si="41"/>
        <v>2.0680446426266361E-2</v>
      </c>
      <c r="F88" s="60">
        <f t="shared" si="41"/>
        <v>2.3906628203852913E-2</v>
      </c>
      <c r="G88" s="60">
        <f t="shared" si="41"/>
        <v>2.8108646480955578E-2</v>
      </c>
      <c r="H88" s="60">
        <f t="shared" si="41"/>
        <v>2.4455626598316623E-2</v>
      </c>
      <c r="I88" s="60">
        <f t="shared" si="41"/>
        <v>2.1113206640418502E-2</v>
      </c>
      <c r="J88" s="60">
        <f t="shared" si="41"/>
        <v>2.3660448545117126E-2</v>
      </c>
      <c r="K88" s="60">
        <f t="shared" si="41"/>
        <v>3.0650996425041741E-2</v>
      </c>
      <c r="R88" s="22">
        <f>AVERAGE(B88:K88)</f>
        <v>2.5158712586454635E-2</v>
      </c>
    </row>
    <row r="89" spans="1:18" x14ac:dyDescent="0.3">
      <c r="A89" s="110" t="s">
        <v>149</v>
      </c>
      <c r="B89" s="57">
        <f>B86-B87</f>
        <v>373.41000000000167</v>
      </c>
      <c r="C89" s="57">
        <f t="shared" ref="C89:K89" si="42">C86-C87</f>
        <v>243.30999999999989</v>
      </c>
      <c r="D89" s="57">
        <f t="shared" si="42"/>
        <v>1466.7599999999984</v>
      </c>
      <c r="E89" s="57">
        <f t="shared" si="42"/>
        <v>45.609999999997001</v>
      </c>
      <c r="F89" s="57">
        <f t="shared" si="42"/>
        <v>343.20000000000044</v>
      </c>
      <c r="G89" s="57">
        <f t="shared" si="42"/>
        <v>139.65999999999917</v>
      </c>
      <c r="H89" s="57">
        <f t="shared" si="42"/>
        <v>1608.5499999999981</v>
      </c>
      <c r="I89" s="57">
        <f t="shared" si="42"/>
        <v>1999.9799999999987</v>
      </c>
      <c r="J89" s="57">
        <f t="shared" si="42"/>
        <v>2063.4599999999987</v>
      </c>
      <c r="K89" s="57">
        <f t="shared" si="42"/>
        <v>1163.0900000000006</v>
      </c>
      <c r="L89" s="12">
        <f>L86-L87</f>
        <v>1169.7940253788759</v>
      </c>
      <c r="M89" s="12">
        <f t="shared" ref="M89:Q89" si="43">M86-M87</f>
        <v>1251.6796071553972</v>
      </c>
      <c r="N89" s="12">
        <f t="shared" si="43"/>
        <v>1339.2971796562751</v>
      </c>
      <c r="O89" s="12">
        <f t="shared" si="43"/>
        <v>1433.0479822322152</v>
      </c>
      <c r="P89" s="12">
        <f t="shared" si="43"/>
        <v>1533.3613409884692</v>
      </c>
      <c r="Q89" s="12">
        <f t="shared" si="43"/>
        <v>1640.6966348576625</v>
      </c>
    </row>
    <row r="90" spans="1:18" x14ac:dyDescent="0.3">
      <c r="A90" s="110" t="s">
        <v>148</v>
      </c>
      <c r="B90" s="23">
        <f t="shared" ref="B90:K90" si="44">B11</f>
        <v>370.46</v>
      </c>
      <c r="C90" s="23">
        <f t="shared" si="44"/>
        <v>232.85</v>
      </c>
      <c r="D90" s="23">
        <f t="shared" si="44"/>
        <v>236.38</v>
      </c>
      <c r="E90" s="23">
        <f t="shared" si="44"/>
        <v>354.92</v>
      </c>
      <c r="F90" s="23">
        <f t="shared" si="44"/>
        <v>273.32</v>
      </c>
      <c r="G90" s="23">
        <f t="shared" si="44"/>
        <v>226.67</v>
      </c>
      <c r="H90" s="23">
        <f t="shared" si="44"/>
        <v>354.89</v>
      </c>
      <c r="I90" s="23">
        <f t="shared" si="44"/>
        <v>522.13</v>
      </c>
      <c r="J90" s="23">
        <f t="shared" si="44"/>
        <v>296.62</v>
      </c>
      <c r="K90" s="23">
        <f t="shared" si="44"/>
        <v>213.5</v>
      </c>
      <c r="L90" s="12">
        <f>L77*$R$91</f>
        <v>388.05261574171288</v>
      </c>
      <c r="M90" s="12">
        <f t="shared" ref="M90:Q90" si="45">M77*$R$91</f>
        <v>415.21629884363284</v>
      </c>
      <c r="N90" s="12">
        <f t="shared" si="45"/>
        <v>444.28143976268717</v>
      </c>
      <c r="O90" s="12">
        <f t="shared" si="45"/>
        <v>475.3811405460753</v>
      </c>
      <c r="P90" s="12">
        <f t="shared" si="45"/>
        <v>508.65782038430063</v>
      </c>
      <c r="Q90" s="12">
        <f t="shared" si="45"/>
        <v>544.26386781120175</v>
      </c>
    </row>
    <row r="91" spans="1:18" x14ac:dyDescent="0.3">
      <c r="A91" s="110" t="s">
        <v>175</v>
      </c>
      <c r="B91" s="60">
        <f>B90/B77</f>
        <v>1.8335446715546669E-2</v>
      </c>
      <c r="C91" s="60">
        <f t="shared" ref="C91:K91" si="46">C90/C77</f>
        <v>1.2772201195765455E-2</v>
      </c>
      <c r="D91" s="60">
        <f t="shared" si="46"/>
        <v>1.2497918159203323E-2</v>
      </c>
      <c r="E91" s="60">
        <f t="shared" si="46"/>
        <v>2.1309055147657009E-2</v>
      </c>
      <c r="F91" s="60">
        <f t="shared" si="46"/>
        <v>1.6477517641349332E-2</v>
      </c>
      <c r="G91" s="60">
        <f t="shared" si="46"/>
        <v>1.3534832174529891E-2</v>
      </c>
      <c r="H91" s="60">
        <f t="shared" si="46"/>
        <v>2.0654586681286499E-2</v>
      </c>
      <c r="I91" s="60">
        <f t="shared" si="46"/>
        <v>3.0600523478589072E-2</v>
      </c>
      <c r="J91" s="60">
        <f t="shared" si="46"/>
        <v>1.6228465632550163E-2</v>
      </c>
      <c r="K91" s="60">
        <f t="shared" si="46"/>
        <v>1.0159105389655223E-2</v>
      </c>
      <c r="R91" s="22">
        <f>AVERAGE(B91:K91)</f>
        <v>1.7256965221613265E-2</v>
      </c>
    </row>
    <row r="92" spans="1:18" x14ac:dyDescent="0.3">
      <c r="A92" s="110" t="s">
        <v>150</v>
      </c>
      <c r="B92" s="57">
        <f>B89-B90</f>
        <v>2.9500000000016939</v>
      </c>
      <c r="C92" s="57">
        <f t="shared" ref="C92:K92" si="47">C89-C90</f>
        <v>10.459999999999894</v>
      </c>
      <c r="D92" s="57">
        <f t="shared" si="47"/>
        <v>1230.3799999999983</v>
      </c>
      <c r="E92" s="57">
        <f t="shared" si="47"/>
        <v>-309.31000000000301</v>
      </c>
      <c r="F92" s="57">
        <f t="shared" si="47"/>
        <v>69.88000000000045</v>
      </c>
      <c r="G92" s="57">
        <f t="shared" si="47"/>
        <v>-87.010000000000815</v>
      </c>
      <c r="H92" s="57">
        <f t="shared" si="47"/>
        <v>1253.659999999998</v>
      </c>
      <c r="I92" s="57">
        <f t="shared" si="47"/>
        <v>1477.8499999999985</v>
      </c>
      <c r="J92" s="57">
        <f t="shared" si="47"/>
        <v>1766.8399999999988</v>
      </c>
      <c r="K92" s="57">
        <f t="shared" si="47"/>
        <v>949.5900000000006</v>
      </c>
      <c r="L92" s="12">
        <f>L89-L90</f>
        <v>781.74140963716297</v>
      </c>
      <c r="M92" s="12">
        <f t="shared" ref="M92:Q92" si="48">M89-M90</f>
        <v>836.46330831176442</v>
      </c>
      <c r="N92" s="12">
        <f t="shared" si="48"/>
        <v>895.01573989358803</v>
      </c>
      <c r="O92" s="12">
        <f t="shared" si="48"/>
        <v>957.66684168613983</v>
      </c>
      <c r="P92" s="12">
        <f t="shared" si="48"/>
        <v>1024.7035206041687</v>
      </c>
      <c r="Q92" s="12">
        <f t="shared" si="48"/>
        <v>1096.4327670464609</v>
      </c>
    </row>
    <row r="93" spans="1:18" x14ac:dyDescent="0.3">
      <c r="A93" s="110" t="s">
        <v>151</v>
      </c>
      <c r="B93" s="57">
        <f>'Tata-input'!B82-'Tata Comm'!B16</f>
        <v>3028.34</v>
      </c>
      <c r="C93" s="57">
        <f>'Tata-input'!C82-'Tata Comm'!C16</f>
        <v>596.93000000000075</v>
      </c>
      <c r="D93" s="57">
        <f>'Tata-input'!D82-'Tata Comm'!D16</f>
        <v>4091.9299999999994</v>
      </c>
      <c r="E93" s="57">
        <f>'Tata-input'!E82-'Tata Comm'!E16</f>
        <v>169.08999999999969</v>
      </c>
      <c r="F93" s="57">
        <f>'Tata-input'!F82-'Tata Comm'!F16</f>
        <v>-557.14999999999873</v>
      </c>
      <c r="G93" s="57">
        <f>'Tata-input'!G82-'Tata Comm'!G16</f>
        <v>-1299.2700000000013</v>
      </c>
      <c r="H93" s="57">
        <f>'Tata-input'!H82-'Tata Comm'!H16</f>
        <v>1970.4699999999998</v>
      </c>
      <c r="I93" s="57">
        <f>'Tata-input'!I82-'Tata Comm'!I16</f>
        <v>2223.1500000000005</v>
      </c>
      <c r="J93" s="57">
        <f>'Tata-input'!J82-'Tata Comm'!J16</f>
        <v>2263.5600000000018</v>
      </c>
      <c r="K93" s="57">
        <f>'Tata-input'!K82-'Tata Comm'!K16</f>
        <v>-2434.4700000000012</v>
      </c>
    </row>
    <row r="97" spans="1:17" x14ac:dyDescent="0.3">
      <c r="A97" s="64" t="s">
        <v>152</v>
      </c>
      <c r="B97" s="62"/>
    </row>
    <row r="98" spans="1:17" x14ac:dyDescent="0.3">
      <c r="A98" s="63" t="s">
        <v>153</v>
      </c>
      <c r="B98">
        <f>'Tata-input'!B69</f>
        <v>1621.15</v>
      </c>
      <c r="C98">
        <f>'Tata-input'!C69</f>
        <v>1976.27</v>
      </c>
      <c r="D98">
        <f>'Tata-input'!D69</f>
        <v>1079.29</v>
      </c>
      <c r="E98">
        <f>'Tata-input'!E69</f>
        <v>1295.58</v>
      </c>
      <c r="F98">
        <f>'Tata-input'!F69</f>
        <v>852.08</v>
      </c>
      <c r="G98">
        <f>'Tata-input'!G69</f>
        <v>909.13</v>
      </c>
      <c r="H98">
        <f>'Tata-input'!H69</f>
        <v>927.1</v>
      </c>
      <c r="I98">
        <f>'Tata-input'!I69</f>
        <v>743.39</v>
      </c>
      <c r="J98">
        <f>'Tata-input'!J69</f>
        <v>1062.57</v>
      </c>
      <c r="K98">
        <f>'Tata-input'!K69</f>
        <v>842.45</v>
      </c>
    </row>
    <row r="99" spans="1:17" x14ac:dyDescent="0.3">
      <c r="A99" s="63" t="s">
        <v>154</v>
      </c>
      <c r="B99">
        <f>'Tata-input'!B67</f>
        <v>2487</v>
      </c>
      <c r="C99">
        <f>'Tata-input'!C67</f>
        <v>3018.86</v>
      </c>
      <c r="D99">
        <f>'Tata-input'!D67</f>
        <v>2590.04</v>
      </c>
      <c r="E99">
        <f>'Tata-input'!E67</f>
        <v>2953.47</v>
      </c>
      <c r="F99">
        <f>'Tata-input'!F67</f>
        <v>2968.45</v>
      </c>
      <c r="G99">
        <f>'Tata-input'!G67</f>
        <v>3228.87</v>
      </c>
      <c r="H99">
        <f>'Tata-input'!H67</f>
        <v>2607.6799999999998</v>
      </c>
      <c r="I99">
        <f>'Tata-input'!I67</f>
        <v>2582.13</v>
      </c>
      <c r="J99">
        <f>'Tata-input'!J67</f>
        <v>2734.99</v>
      </c>
      <c r="K99">
        <f>'Tata-input'!K67</f>
        <v>3758.36</v>
      </c>
    </row>
    <row r="100" spans="1:17" x14ac:dyDescent="0.3">
      <c r="A100" s="63" t="s">
        <v>34</v>
      </c>
      <c r="B100">
        <f>'Tata-input'!B68</f>
        <v>26.4</v>
      </c>
      <c r="C100">
        <f>'Tata-input'!C68</f>
        <v>25.42</v>
      </c>
      <c r="D100">
        <f>'Tata-input'!D68</f>
        <v>19.2</v>
      </c>
      <c r="E100">
        <f>'Tata-input'!E68</f>
        <v>26.99</v>
      </c>
      <c r="F100">
        <f>'Tata-input'!F68</f>
        <v>76.58</v>
      </c>
      <c r="G100">
        <f>'Tata-input'!G68</f>
        <v>72.97</v>
      </c>
      <c r="H100">
        <f>'Tata-input'!H68</f>
        <v>34.44</v>
      </c>
      <c r="I100">
        <f>'Tata-input'!I68</f>
        <v>37.880000000000003</v>
      </c>
      <c r="J100">
        <f>'Tata-input'!J68</f>
        <v>160</v>
      </c>
      <c r="K100">
        <f>'Tata-input'!K68</f>
        <v>83.54</v>
      </c>
    </row>
    <row r="101" spans="1:17" x14ac:dyDescent="0.3">
      <c r="A101" s="63" t="s">
        <v>155</v>
      </c>
    </row>
    <row r="102" spans="1:17" x14ac:dyDescent="0.3">
      <c r="A102" s="63" t="s">
        <v>156</v>
      </c>
      <c r="B102">
        <f>'Tata-input'!B73</f>
        <v>-429</v>
      </c>
      <c r="C102">
        <f>'Tata-input'!C73</f>
        <v>372</v>
      </c>
      <c r="D102">
        <f>'Tata-input'!D73</f>
        <v>290</v>
      </c>
      <c r="E102">
        <f>'Tata-input'!E73</f>
        <v>-92</v>
      </c>
      <c r="F102">
        <f>'Tata-input'!F73</f>
        <v>70</v>
      </c>
      <c r="G102">
        <f>'Tata-input'!G73</f>
        <v>-26</v>
      </c>
      <c r="H102">
        <f>'Tata-input'!H73</f>
        <v>-555</v>
      </c>
      <c r="I102">
        <f>'Tata-input'!I73</f>
        <v>-297</v>
      </c>
      <c r="J102">
        <f>'Tata-input'!J73</f>
        <v>133</v>
      </c>
      <c r="K102">
        <f>'Tata-input'!K73</f>
        <v>-425</v>
      </c>
    </row>
    <row r="103" spans="1:17" x14ac:dyDescent="0.3">
      <c r="A103" s="51" t="s">
        <v>157</v>
      </c>
      <c r="B103" s="51">
        <f>B98+B99+B100+B101-B102</f>
        <v>4563.5499999999993</v>
      </c>
      <c r="C103" s="51">
        <f t="shared" ref="C103:K103" si="49">C98+C99+C100+C101-C102</f>
        <v>4648.55</v>
      </c>
      <c r="D103" s="51">
        <f t="shared" si="49"/>
        <v>3398.5299999999997</v>
      </c>
      <c r="E103" s="51">
        <f t="shared" si="49"/>
        <v>4368.0399999999991</v>
      </c>
      <c r="F103" s="51">
        <f t="shared" si="49"/>
        <v>3827.1099999999997</v>
      </c>
      <c r="G103" s="51">
        <f t="shared" si="49"/>
        <v>4236.97</v>
      </c>
      <c r="H103" s="51">
        <f t="shared" si="49"/>
        <v>4124.2199999999993</v>
      </c>
      <c r="I103" s="51">
        <f t="shared" si="49"/>
        <v>3660.4</v>
      </c>
      <c r="J103" s="51">
        <f t="shared" si="49"/>
        <v>3824.5599999999995</v>
      </c>
      <c r="K103" s="51">
        <f t="shared" si="49"/>
        <v>5109.3500000000004</v>
      </c>
      <c r="L103" s="89">
        <f>$L$104*L77</f>
        <v>5202.1476774049825</v>
      </c>
      <c r="M103" s="89">
        <f t="shared" ref="M103:Q103" si="50">$L$104*M77</f>
        <v>5566.2980148233319</v>
      </c>
      <c r="N103" s="89">
        <f t="shared" si="50"/>
        <v>5955.9388758609657</v>
      </c>
      <c r="O103" s="89">
        <f t="shared" si="50"/>
        <v>6372.8545971712338</v>
      </c>
      <c r="P103" s="89">
        <f t="shared" si="50"/>
        <v>6818.9544189732214</v>
      </c>
      <c r="Q103" s="89">
        <f t="shared" si="50"/>
        <v>7296.2812283013473</v>
      </c>
    </row>
    <row r="104" spans="1:17" x14ac:dyDescent="0.3">
      <c r="A104" s="51" t="s">
        <v>195</v>
      </c>
      <c r="B104" s="88">
        <f>B103/B77</f>
        <v>0.22586710537907737</v>
      </c>
      <c r="C104" s="88">
        <f t="shared" ref="C104:K104" si="51">C103/C77</f>
        <v>0.25498052767264551</v>
      </c>
      <c r="D104" s="88">
        <f t="shared" si="51"/>
        <v>0.17968757848209352</v>
      </c>
      <c r="E104" s="88">
        <f t="shared" si="51"/>
        <v>0.26225291684653357</v>
      </c>
      <c r="F104" s="88">
        <f t="shared" si="51"/>
        <v>0.23072322750030894</v>
      </c>
      <c r="G104" s="88">
        <f t="shared" si="51"/>
        <v>0.25299632892980067</v>
      </c>
      <c r="H104" s="88">
        <f t="shared" si="51"/>
        <v>0.24002947246384906</v>
      </c>
      <c r="I104" s="88">
        <f t="shared" si="51"/>
        <v>0.21452541731183314</v>
      </c>
      <c r="J104" s="88">
        <f t="shared" si="51"/>
        <v>0.20924664729157183</v>
      </c>
      <c r="K104" s="88">
        <f t="shared" si="51"/>
        <v>0.24312142914583099</v>
      </c>
      <c r="L104" s="22">
        <f>AVERAGE(B104:K104)</f>
        <v>0.23134306510235442</v>
      </c>
    </row>
    <row r="105" spans="1:17" x14ac:dyDescent="0.3">
      <c r="A105" s="51" t="s">
        <v>197</v>
      </c>
      <c r="B105" s="87"/>
      <c r="C105" s="44">
        <f>C103-B103</f>
        <v>85.000000000000909</v>
      </c>
      <c r="D105" s="44">
        <f t="shared" ref="D105:K105" si="52">D103-C103</f>
        <v>-1250.0200000000004</v>
      </c>
      <c r="E105" s="44">
        <f t="shared" si="52"/>
        <v>969.50999999999931</v>
      </c>
      <c r="F105" s="44">
        <f t="shared" si="52"/>
        <v>-540.92999999999938</v>
      </c>
      <c r="G105" s="44">
        <f t="shared" si="52"/>
        <v>409.86000000000058</v>
      </c>
      <c r="H105" s="44">
        <f t="shared" si="52"/>
        <v>-112.75000000000091</v>
      </c>
      <c r="I105" s="44">
        <f t="shared" si="52"/>
        <v>-463.81999999999925</v>
      </c>
      <c r="J105" s="44">
        <f t="shared" si="52"/>
        <v>164.1599999999994</v>
      </c>
      <c r="K105" s="44">
        <f t="shared" si="52"/>
        <v>1284.7900000000009</v>
      </c>
      <c r="L105" s="44">
        <f t="shared" ref="L105" si="53">L103-K103</f>
        <v>92.797677404982096</v>
      </c>
      <c r="M105" s="44">
        <f t="shared" ref="M105" si="54">M103-L103</f>
        <v>364.15033741834941</v>
      </c>
      <c r="N105" s="44">
        <f t="shared" ref="N105" si="55">N103-M103</f>
        <v>389.64086103763384</v>
      </c>
      <c r="O105" s="44">
        <f t="shared" ref="O105" si="56">O103-N103</f>
        <v>416.91572131026805</v>
      </c>
      <c r="P105" s="44">
        <f t="shared" ref="P105" si="57">P103-O103</f>
        <v>446.09982180198767</v>
      </c>
      <c r="Q105" s="44">
        <f t="shared" ref="Q105" si="58">Q103-P103</f>
        <v>477.32680932812582</v>
      </c>
    </row>
    <row r="106" spans="1:17" x14ac:dyDescent="0.3">
      <c r="A106" s="51"/>
      <c r="B106" s="51"/>
    </row>
    <row r="107" spans="1:17" x14ac:dyDescent="0.3">
      <c r="A107" s="64" t="s">
        <v>159</v>
      </c>
      <c r="B107" s="63">
        <f>'Tata-input'!B65</f>
        <v>7085.59</v>
      </c>
      <c r="C107" s="63">
        <f>'Tata-input'!C65</f>
        <v>8016.68</v>
      </c>
      <c r="D107" s="63">
        <f>'Tata-input'!D65</f>
        <v>6919.86</v>
      </c>
      <c r="E107" s="63">
        <f>'Tata-input'!E65</f>
        <v>6990.18</v>
      </c>
      <c r="F107" s="63">
        <f>'Tata-input'!F65</f>
        <v>6809.15</v>
      </c>
      <c r="G107" s="63">
        <f>'Tata-input'!G65</f>
        <v>7450.96</v>
      </c>
      <c r="H107" s="63">
        <f>'Tata-input'!H65</f>
        <v>7059.68</v>
      </c>
      <c r="I107" s="63">
        <f>'Tata-input'!I65</f>
        <v>6283.62</v>
      </c>
      <c r="J107" s="63">
        <f>'Tata-input'!J65</f>
        <v>6921.12</v>
      </c>
      <c r="K107" s="63">
        <f>'Tata-input'!K65</f>
        <v>7962.78</v>
      </c>
      <c r="L107" s="90">
        <f>$L$108*L77</f>
        <v>8922.9121332109735</v>
      </c>
      <c r="M107" s="90">
        <f t="shared" ref="M107:Q107" si="59">$L$108*M77</f>
        <v>9547.5159825357423</v>
      </c>
      <c r="N107" s="90">
        <f t="shared" si="59"/>
        <v>10215.842101313245</v>
      </c>
      <c r="O107" s="90">
        <f t="shared" si="59"/>
        <v>10930.951048405173</v>
      </c>
      <c r="P107" s="90">
        <f t="shared" si="59"/>
        <v>11696.117621793537</v>
      </c>
      <c r="Q107" s="90">
        <f t="shared" si="59"/>
        <v>12514.845855319085</v>
      </c>
    </row>
    <row r="108" spans="1:17" x14ac:dyDescent="0.3">
      <c r="A108" s="64" t="s">
        <v>196</v>
      </c>
      <c r="B108" s="88">
        <f>B107/B77</f>
        <v>0.35069226878262255</v>
      </c>
      <c r="C108" s="88">
        <f t="shared" ref="C108:K108" si="60">C107/C77</f>
        <v>0.43972793593330045</v>
      </c>
      <c r="D108" s="88">
        <f t="shared" si="60"/>
        <v>0.36586785664246002</v>
      </c>
      <c r="E108" s="88">
        <f t="shared" si="60"/>
        <v>0.41968367832764869</v>
      </c>
      <c r="F108" s="88">
        <f t="shared" si="60"/>
        <v>0.41050010700861189</v>
      </c>
      <c r="G108" s="88">
        <f t="shared" si="60"/>
        <v>0.44490886813047703</v>
      </c>
      <c r="H108" s="88">
        <f t="shared" si="60"/>
        <v>0.41087315084151338</v>
      </c>
      <c r="I108" s="88">
        <f t="shared" si="60"/>
        <v>0.36826472591219017</v>
      </c>
      <c r="J108" s="88">
        <f t="shared" si="60"/>
        <v>0.37866346860884487</v>
      </c>
      <c r="K108" s="88">
        <f t="shared" si="60"/>
        <v>0.37889799163765253</v>
      </c>
      <c r="L108" s="22">
        <f>AVERAGE(B108:K108)</f>
        <v>0.39680800518253223</v>
      </c>
    </row>
    <row r="109" spans="1:17" x14ac:dyDescent="0.3">
      <c r="A109" s="51"/>
      <c r="B109" s="51" t="s">
        <v>160</v>
      </c>
      <c r="C109" s="44">
        <f>C107-B107</f>
        <v>931.09000000000015</v>
      </c>
      <c r="D109" s="44">
        <f t="shared" ref="D109:K109" si="61">D107-C107</f>
        <v>-1096.8200000000006</v>
      </c>
      <c r="E109" s="44">
        <f t="shared" si="61"/>
        <v>70.320000000000618</v>
      </c>
      <c r="F109" s="44">
        <f t="shared" si="61"/>
        <v>-181.03000000000065</v>
      </c>
      <c r="G109" s="44">
        <f t="shared" si="61"/>
        <v>641.8100000000004</v>
      </c>
      <c r="H109" s="44">
        <f t="shared" si="61"/>
        <v>-391.27999999999975</v>
      </c>
      <c r="I109" s="44">
        <f t="shared" si="61"/>
        <v>-776.0600000000004</v>
      </c>
      <c r="J109" s="44">
        <f t="shared" si="61"/>
        <v>637.5</v>
      </c>
      <c r="K109" s="44">
        <f t="shared" si="61"/>
        <v>1041.6599999999999</v>
      </c>
      <c r="L109" s="44">
        <f t="shared" ref="L109" si="62">L107-K107</f>
        <v>960.13213321097373</v>
      </c>
      <c r="M109" s="44">
        <f t="shared" ref="M109" si="63">M107-L107</f>
        <v>624.60384932476882</v>
      </c>
      <c r="N109" s="44">
        <f t="shared" ref="N109" si="64">N107-M107</f>
        <v>668.32611877750242</v>
      </c>
      <c r="O109" s="44">
        <f t="shared" ref="O109" si="65">O107-N107</f>
        <v>715.10894709192871</v>
      </c>
      <c r="P109" s="44">
        <f t="shared" ref="P109" si="66">P107-O107</f>
        <v>765.16657338836376</v>
      </c>
      <c r="Q109" s="44">
        <f t="shared" ref="Q109" si="67">Q107-P107</f>
        <v>818.72823352554769</v>
      </c>
    </row>
    <row r="110" spans="1:17" x14ac:dyDescent="0.3">
      <c r="A110" s="51"/>
      <c r="B110" s="51"/>
    </row>
    <row r="111" spans="1:17" x14ac:dyDescent="0.3">
      <c r="A111" s="51" t="s">
        <v>161</v>
      </c>
      <c r="B111" s="67">
        <f>B38</f>
        <v>14703.82</v>
      </c>
      <c r="C111" s="67">
        <f t="shared" ref="C111:K111" si="68">C38</f>
        <v>14443.81</v>
      </c>
      <c r="D111" s="67">
        <f t="shared" si="68"/>
        <v>10928.51</v>
      </c>
      <c r="E111" s="67">
        <f t="shared" si="68"/>
        <v>10796.54</v>
      </c>
      <c r="F111" s="67">
        <f t="shared" si="68"/>
        <v>11289.39</v>
      </c>
      <c r="G111" s="67">
        <f t="shared" si="68"/>
        <v>12768.18</v>
      </c>
      <c r="H111" s="67">
        <f t="shared" si="68"/>
        <v>11519.61</v>
      </c>
      <c r="I111" s="67">
        <f t="shared" si="68"/>
        <v>10936.2</v>
      </c>
      <c r="J111" s="67">
        <f t="shared" si="68"/>
        <v>10499.58</v>
      </c>
      <c r="K111" s="67">
        <f t="shared" si="68"/>
        <v>13467.41</v>
      </c>
    </row>
    <row r="112" spans="1:17" x14ac:dyDescent="0.3">
      <c r="A112" s="63" t="s">
        <v>162</v>
      </c>
      <c r="B112" s="63">
        <f>B16</f>
        <v>0</v>
      </c>
      <c r="C112" s="63">
        <f t="shared" ref="C112:K112" si="69">C16</f>
        <v>1765.7599999999993</v>
      </c>
      <c r="D112" s="63">
        <f t="shared" si="69"/>
        <v>-1698.4299999999994</v>
      </c>
      <c r="E112" s="63">
        <f t="shared" si="69"/>
        <v>1543.7200000000003</v>
      </c>
      <c r="F112" s="63">
        <f t="shared" si="69"/>
        <v>2401.4799999999987</v>
      </c>
      <c r="G112" s="63">
        <f t="shared" si="69"/>
        <v>3824.0300000000016</v>
      </c>
      <c r="H112" s="63">
        <f t="shared" si="69"/>
        <v>1209.3600000000001</v>
      </c>
      <c r="I112" s="63">
        <f t="shared" si="69"/>
        <v>1980.6699999999992</v>
      </c>
      <c r="J112" s="63">
        <f t="shared" si="69"/>
        <v>2120.7899999999986</v>
      </c>
      <c r="K112" s="63">
        <f t="shared" si="69"/>
        <v>5616.4700000000012</v>
      </c>
      <c r="L112" s="90">
        <f>$R$115*L77</f>
        <v>2344.4744385147983</v>
      </c>
      <c r="M112" s="90">
        <f t="shared" ref="M112:Q112" si="70">$R$115*M77</f>
        <v>2508.5876492108346</v>
      </c>
      <c r="N112" s="90">
        <f t="shared" si="70"/>
        <v>2684.1887846555933</v>
      </c>
      <c r="O112" s="90">
        <f t="shared" si="70"/>
        <v>2872.081999581485</v>
      </c>
      <c r="P112" s="90">
        <f t="shared" si="70"/>
        <v>3073.1277395521893</v>
      </c>
      <c r="Q112" s="90">
        <f t="shared" si="70"/>
        <v>3288.2466813208425</v>
      </c>
    </row>
    <row r="113" spans="1:20" x14ac:dyDescent="0.3">
      <c r="A113" s="51" t="s">
        <v>6</v>
      </c>
      <c r="B113" s="67">
        <f>B9</f>
        <v>2161.09</v>
      </c>
      <c r="C113" s="67">
        <f t="shared" ref="C113:K113" si="71">C9</f>
        <v>1864.29</v>
      </c>
      <c r="D113" s="67">
        <f t="shared" si="71"/>
        <v>1865.77</v>
      </c>
      <c r="E113" s="67">
        <f t="shared" si="71"/>
        <v>1906.3</v>
      </c>
      <c r="F113" s="67">
        <f t="shared" si="71"/>
        <v>2067.6</v>
      </c>
      <c r="G113" s="67">
        <f t="shared" si="71"/>
        <v>2357.7199999999998</v>
      </c>
      <c r="H113" s="67">
        <f t="shared" si="71"/>
        <v>2313.87</v>
      </c>
      <c r="I113" s="67">
        <f t="shared" si="71"/>
        <v>2204.54</v>
      </c>
      <c r="J113" s="67">
        <f t="shared" si="71"/>
        <v>2261.81</v>
      </c>
      <c r="K113" s="67">
        <f t="shared" si="71"/>
        <v>2469.67</v>
      </c>
      <c r="L113" s="90">
        <f>L84</f>
        <v>2682.4018140974731</v>
      </c>
      <c r="M113" s="90">
        <f t="shared" ref="M113:Q113" si="72">M84</f>
        <v>2870.1699410842966</v>
      </c>
      <c r="N113" s="90">
        <f t="shared" si="72"/>
        <v>3071.0818369601975</v>
      </c>
      <c r="O113" s="90">
        <f t="shared" si="72"/>
        <v>3286.0575655474117</v>
      </c>
      <c r="P113" s="90">
        <f t="shared" si="72"/>
        <v>3516.0815951357308</v>
      </c>
      <c r="Q113" s="90">
        <f t="shared" si="72"/>
        <v>3762.2073067952324</v>
      </c>
    </row>
    <row r="114" spans="1:20" x14ac:dyDescent="0.3">
      <c r="A114" s="51" t="s">
        <v>163</v>
      </c>
      <c r="B114" s="67">
        <f>B111+B112-B113</f>
        <v>12542.73</v>
      </c>
      <c r="C114" s="67">
        <f t="shared" ref="C114:K114" si="73">C111+C112-C113</f>
        <v>14345.279999999999</v>
      </c>
      <c r="D114" s="67">
        <f t="shared" si="73"/>
        <v>7364.3100000000013</v>
      </c>
      <c r="E114" s="67">
        <f t="shared" si="73"/>
        <v>10433.960000000003</v>
      </c>
      <c r="F114" s="67">
        <f t="shared" si="73"/>
        <v>11623.269999999999</v>
      </c>
      <c r="G114" s="67">
        <f t="shared" si="73"/>
        <v>14234.490000000003</v>
      </c>
      <c r="H114" s="67">
        <f t="shared" si="73"/>
        <v>10415.100000000002</v>
      </c>
      <c r="I114" s="67">
        <f t="shared" si="73"/>
        <v>10712.329999999998</v>
      </c>
      <c r="J114" s="67">
        <f t="shared" si="73"/>
        <v>10358.56</v>
      </c>
      <c r="K114" s="67">
        <f t="shared" si="73"/>
        <v>16614.21</v>
      </c>
    </row>
    <row r="115" spans="1:20" x14ac:dyDescent="0.3">
      <c r="A115" s="51" t="s">
        <v>193</v>
      </c>
      <c r="B115" s="60">
        <f>B112/B77</f>
        <v>0</v>
      </c>
      <c r="C115" s="60">
        <f t="shared" ref="C115:K115" si="74">C112/C77</f>
        <v>9.6854807745049606E-2</v>
      </c>
      <c r="D115" s="60">
        <f t="shared" si="74"/>
        <v>-8.9799640998120364E-2</v>
      </c>
      <c r="E115" s="60">
        <f t="shared" si="74"/>
        <v>9.2683462787504459E-2</v>
      </c>
      <c r="F115" s="60">
        <f t="shared" si="74"/>
        <v>0.14477692472320933</v>
      </c>
      <c r="G115" s="60">
        <f t="shared" si="74"/>
        <v>0.22833901389847602</v>
      </c>
      <c r="H115" s="60">
        <f t="shared" si="74"/>
        <v>7.0384713429177057E-2</v>
      </c>
      <c r="I115" s="60">
        <f t="shared" si="74"/>
        <v>0.11608131851902206</v>
      </c>
      <c r="J115" s="60">
        <f t="shared" si="74"/>
        <v>0.11603117668685872</v>
      </c>
      <c r="K115" s="60">
        <f t="shared" si="74"/>
        <v>0.26725204050509077</v>
      </c>
      <c r="R115" s="22">
        <f>AVERAGE(B115:K115)</f>
        <v>0.10426038172962677</v>
      </c>
    </row>
    <row r="117" spans="1:20" x14ac:dyDescent="0.3">
      <c r="A117" s="73" t="s">
        <v>176</v>
      </c>
      <c r="B117" s="74"/>
      <c r="C117" s="74"/>
      <c r="D117" s="74"/>
      <c r="E117" s="74"/>
      <c r="F117" s="75" t="s">
        <v>177</v>
      </c>
      <c r="G117" s="75"/>
      <c r="H117" s="75"/>
      <c r="I117" s="75"/>
      <c r="J117" s="75"/>
      <c r="K117" s="76"/>
      <c r="L117" s="74"/>
      <c r="O117" t="s">
        <v>192</v>
      </c>
    </row>
    <row r="118" spans="1:20" x14ac:dyDescent="0.3">
      <c r="A118" s="74"/>
      <c r="B118" s="74"/>
      <c r="C118" s="74"/>
      <c r="D118" s="74"/>
      <c r="E118" s="74"/>
      <c r="F118" s="84">
        <f>L76</f>
        <v>45747</v>
      </c>
      <c r="G118" s="84">
        <f t="shared" ref="G118:J118" si="75">M76</f>
        <v>46112</v>
      </c>
      <c r="H118" s="84">
        <f t="shared" si="75"/>
        <v>46477</v>
      </c>
      <c r="I118" s="84">
        <f t="shared" si="75"/>
        <v>46843</v>
      </c>
      <c r="J118" s="84">
        <f t="shared" si="75"/>
        <v>47208</v>
      </c>
      <c r="K118" s="76"/>
      <c r="L118" s="74"/>
    </row>
    <row r="119" spans="1:20" x14ac:dyDescent="0.3">
      <c r="A119" s="74" t="s">
        <v>178</v>
      </c>
      <c r="B119" s="74"/>
      <c r="C119" s="74"/>
      <c r="D119" s="74"/>
      <c r="E119" s="74"/>
      <c r="F119" s="77">
        <f>L86</f>
        <v>1735.5310540216788</v>
      </c>
      <c r="G119" s="77">
        <f t="shared" ref="G119:J119" si="76">M86</f>
        <v>1857.0182278031962</v>
      </c>
      <c r="H119" s="77">
        <f t="shared" si="76"/>
        <v>1987.0095037494202</v>
      </c>
      <c r="I119" s="77">
        <f t="shared" si="76"/>
        <v>2126.1001690118806</v>
      </c>
      <c r="J119" s="77">
        <f t="shared" si="76"/>
        <v>2274.9271808427111</v>
      </c>
      <c r="K119" s="74"/>
      <c r="L119" s="74"/>
      <c r="O119" s="70" t="s">
        <v>198</v>
      </c>
      <c r="P119" s="70" t="s">
        <v>199</v>
      </c>
      <c r="Q119" s="69"/>
    </row>
    <row r="120" spans="1:20" ht="15" thickBot="1" x14ac:dyDescent="0.35">
      <c r="A120" s="74" t="s">
        <v>179</v>
      </c>
      <c r="B120" s="74"/>
      <c r="C120" s="74" t="s">
        <v>180</v>
      </c>
      <c r="D120" s="78">
        <f>0.25168</f>
        <v>0.25168000000000001</v>
      </c>
      <c r="E120" s="74"/>
      <c r="F120" s="77">
        <f>F119*(1-$D$120)</f>
        <v>1298.7325983455025</v>
      </c>
      <c r="G120" s="77">
        <f t="shared" ref="G120:J120" si="77">G119*(1-$D$120)</f>
        <v>1389.6438802296877</v>
      </c>
      <c r="H120" s="77">
        <f t="shared" si="77"/>
        <v>1486.9189518457661</v>
      </c>
      <c r="I120" s="77">
        <f t="shared" si="77"/>
        <v>1591.0032784749703</v>
      </c>
      <c r="J120" s="77">
        <f t="shared" si="77"/>
        <v>1702.3735079682176</v>
      </c>
      <c r="K120" s="74"/>
      <c r="L120" s="74"/>
      <c r="O120" s="70" t="s">
        <v>231</v>
      </c>
      <c r="P120" s="71">
        <f>0.57</f>
        <v>0.56999999999999995</v>
      </c>
      <c r="Q120" s="109"/>
    </row>
    <row r="121" spans="1:20" ht="15.6" thickTop="1" thickBot="1" x14ac:dyDescent="0.35">
      <c r="A121" s="74" t="s">
        <v>6</v>
      </c>
      <c r="B121" s="74"/>
      <c r="C121" s="74"/>
      <c r="D121" s="74"/>
      <c r="E121" s="74"/>
      <c r="F121" s="77">
        <f>L84</f>
        <v>2682.4018140974731</v>
      </c>
      <c r="G121" s="77">
        <f t="shared" ref="G121:J121" si="78">M84</f>
        <v>2870.1699410842966</v>
      </c>
      <c r="H121" s="77">
        <f t="shared" si="78"/>
        <v>3071.0818369601975</v>
      </c>
      <c r="I121" s="77">
        <f t="shared" si="78"/>
        <v>3286.0575655474117</v>
      </c>
      <c r="J121" s="77">
        <f t="shared" si="78"/>
        <v>3516.0815951357308</v>
      </c>
      <c r="K121" s="74"/>
      <c r="L121" s="74"/>
      <c r="O121" s="70" t="s">
        <v>200</v>
      </c>
      <c r="P121" s="71">
        <v>6.99</v>
      </c>
      <c r="Q121" s="109"/>
      <c r="R121" s="185" t="s">
        <v>277</v>
      </c>
      <c r="S121" s="185"/>
    </row>
    <row r="122" spans="1:20" ht="30" thickTop="1" thickBot="1" x14ac:dyDescent="0.35">
      <c r="A122" s="74" t="s">
        <v>181</v>
      </c>
      <c r="B122" s="74"/>
      <c r="C122" s="74"/>
      <c r="D122" s="74"/>
      <c r="E122" s="74"/>
      <c r="F122" s="85">
        <f>L112</f>
        <v>2344.4744385147983</v>
      </c>
      <c r="G122" s="85">
        <f t="shared" ref="G122:J122" si="79">M112</f>
        <v>2508.5876492108346</v>
      </c>
      <c r="H122" s="85">
        <f t="shared" si="79"/>
        <v>2684.1887846555933</v>
      </c>
      <c r="I122" s="85">
        <f t="shared" si="79"/>
        <v>2872.081999581485</v>
      </c>
      <c r="J122" s="85">
        <f t="shared" si="79"/>
        <v>3073.1277395521893</v>
      </c>
      <c r="K122" s="74"/>
      <c r="L122" s="74"/>
      <c r="O122" s="70" t="s">
        <v>201</v>
      </c>
      <c r="P122" s="95">
        <v>0.378</v>
      </c>
      <c r="Q122" s="149"/>
      <c r="R122" s="152" t="s">
        <v>279</v>
      </c>
      <c r="S122" s="153" t="s">
        <v>284</v>
      </c>
      <c r="T122" s="150"/>
    </row>
    <row r="123" spans="1:20" ht="15.6" thickTop="1" thickBot="1" x14ac:dyDescent="0.35">
      <c r="A123" s="74" t="s">
        <v>158</v>
      </c>
      <c r="B123" s="74"/>
      <c r="C123" s="74"/>
      <c r="D123" s="74"/>
      <c r="E123" s="74"/>
      <c r="F123" s="77">
        <f>L105</f>
        <v>92.797677404982096</v>
      </c>
      <c r="G123" s="77">
        <f t="shared" ref="G123:J123" si="80">M105</f>
        <v>364.15033741834941</v>
      </c>
      <c r="H123" s="77">
        <f t="shared" si="80"/>
        <v>389.64086103763384</v>
      </c>
      <c r="I123" s="77">
        <f t="shared" si="80"/>
        <v>416.91572131026805</v>
      </c>
      <c r="J123" s="77">
        <f t="shared" si="80"/>
        <v>446.09982180198767</v>
      </c>
      <c r="K123" s="74"/>
      <c r="L123" s="74"/>
      <c r="O123" s="70" t="s">
        <v>202</v>
      </c>
      <c r="P123" s="71">
        <v>4.04</v>
      </c>
      <c r="Q123" s="149"/>
      <c r="R123" s="152" t="s">
        <v>278</v>
      </c>
      <c r="S123" s="152" t="s">
        <v>276</v>
      </c>
    </row>
    <row r="124" spans="1:20" ht="15.6" thickTop="1" thickBot="1" x14ac:dyDescent="0.35">
      <c r="A124" s="74" t="s">
        <v>160</v>
      </c>
      <c r="B124" s="74"/>
      <c r="C124" s="74"/>
      <c r="D124" s="74"/>
      <c r="E124" s="74"/>
      <c r="F124" s="79">
        <f>L109</f>
        <v>960.13213321097373</v>
      </c>
      <c r="G124" s="79">
        <f t="shared" ref="G124:J124" si="81">M109</f>
        <v>624.60384932476882</v>
      </c>
      <c r="H124" s="79">
        <f t="shared" si="81"/>
        <v>668.32611877750242</v>
      </c>
      <c r="I124" s="79">
        <f t="shared" si="81"/>
        <v>715.10894709192871</v>
      </c>
      <c r="J124" s="79">
        <f t="shared" si="81"/>
        <v>765.16657338836376</v>
      </c>
      <c r="K124" s="74"/>
      <c r="L124" s="74"/>
      <c r="O124" s="70" t="s">
        <v>203</v>
      </c>
      <c r="P124" s="95">
        <f>25.168%</f>
        <v>0.25168000000000001</v>
      </c>
      <c r="Q124" s="149"/>
      <c r="R124" s="152" t="s">
        <v>280</v>
      </c>
      <c r="S124" s="154" t="s">
        <v>285</v>
      </c>
    </row>
    <row r="125" spans="1:20" ht="15.6" thickTop="1" thickBot="1" x14ac:dyDescent="0.35">
      <c r="A125" s="74" t="s">
        <v>182</v>
      </c>
      <c r="B125" s="74"/>
      <c r="C125" s="74"/>
      <c r="D125" s="74"/>
      <c r="E125" s="74"/>
      <c r="F125" s="77">
        <f>F120+F121-F122-F123-F124</f>
        <v>583.73016331222152</v>
      </c>
      <c r="G125" s="77">
        <f>G120+G121-G122-G123-G124</f>
        <v>762.47198536003179</v>
      </c>
      <c r="H125" s="77">
        <f t="shared" ref="H125:J125" si="82">H120+H121-H122-H123-H124</f>
        <v>815.84502433523403</v>
      </c>
      <c r="I125" s="77">
        <f t="shared" si="82"/>
        <v>872.95417603870055</v>
      </c>
      <c r="J125" s="77">
        <f t="shared" si="82"/>
        <v>934.0609683614075</v>
      </c>
      <c r="K125" s="74"/>
      <c r="L125" s="74"/>
      <c r="O125" s="70" t="s">
        <v>204</v>
      </c>
      <c r="P125" s="105">
        <f>K87/K18</f>
        <v>5.7190826383691266E-2</v>
      </c>
      <c r="Q125" s="149"/>
      <c r="R125" s="152" t="s">
        <v>281</v>
      </c>
      <c r="S125" s="155">
        <f>P131</f>
        <v>6.7500000000000004E-2</v>
      </c>
    </row>
    <row r="126" spans="1:20" ht="15.6" thickTop="1" thickBot="1" x14ac:dyDescent="0.35">
      <c r="A126" s="74" t="s">
        <v>183</v>
      </c>
      <c r="B126" s="74"/>
      <c r="C126" s="74" t="s">
        <v>184</v>
      </c>
      <c r="D126" s="78">
        <f>0.03</f>
        <v>0.03</v>
      </c>
      <c r="E126" s="74"/>
      <c r="F126" s="74"/>
      <c r="G126" s="74"/>
      <c r="H126" s="74"/>
      <c r="I126" s="74"/>
      <c r="J126" s="77">
        <f>J125*(1+D126)/(P127-D126)</f>
        <v>28586.195770810533</v>
      </c>
      <c r="K126" s="74" t="s">
        <v>185</v>
      </c>
      <c r="L126" s="74"/>
      <c r="O126" s="70" t="s">
        <v>205</v>
      </c>
      <c r="P126" s="95">
        <f>P131+P120*P128</f>
        <v>0.10890823928313872</v>
      </c>
      <c r="Q126" s="149"/>
      <c r="R126" s="152" t="s">
        <v>282</v>
      </c>
      <c r="S126" s="156">
        <f>P124</f>
        <v>0.25168000000000001</v>
      </c>
    </row>
    <row r="127" spans="1:20" ht="15.6" thickTop="1" thickBot="1" x14ac:dyDescent="0.35">
      <c r="A127" s="74"/>
      <c r="B127" s="74"/>
      <c r="C127" s="74"/>
      <c r="D127" s="74"/>
      <c r="E127" s="74"/>
      <c r="F127" s="77">
        <f>F125+F126</f>
        <v>583.73016331222152</v>
      </c>
      <c r="G127" s="77">
        <f t="shared" ref="G127:J127" si="83">G125+G126</f>
        <v>762.47198536003179</v>
      </c>
      <c r="H127" s="77">
        <f t="shared" si="83"/>
        <v>815.84502433523403</v>
      </c>
      <c r="I127" s="77">
        <f t="shared" si="83"/>
        <v>872.95417603870055</v>
      </c>
      <c r="J127" s="77">
        <f t="shared" si="83"/>
        <v>29520.256739171942</v>
      </c>
      <c r="K127" s="74"/>
      <c r="L127" s="74"/>
      <c r="O127" s="106" t="s">
        <v>206</v>
      </c>
      <c r="P127" s="107">
        <f>P130*P126+P129*P125</f>
        <v>6.3655502996122201E-2</v>
      </c>
      <c r="Q127" s="149"/>
      <c r="R127" s="152" t="s">
        <v>283</v>
      </c>
      <c r="S127" s="154">
        <v>0.03</v>
      </c>
    </row>
    <row r="128" spans="1:20" ht="15" thickTop="1" x14ac:dyDescent="0.3">
      <c r="A128" s="74" t="s">
        <v>186</v>
      </c>
      <c r="B128" s="74"/>
      <c r="C128" s="74"/>
      <c r="D128" s="74"/>
      <c r="E128" s="74"/>
      <c r="F128" s="80"/>
      <c r="G128" s="80"/>
      <c r="H128" s="80"/>
      <c r="I128" s="80"/>
      <c r="J128" s="80"/>
      <c r="K128" s="74"/>
      <c r="L128" s="74"/>
      <c r="O128" s="70" t="s">
        <v>207</v>
      </c>
      <c r="P128" s="104">
        <f>'WACC Calc'!C22</f>
        <v>7.2646033830067944E-2</v>
      </c>
    </row>
    <row r="129" spans="1:19" x14ac:dyDescent="0.3">
      <c r="A129" s="74" t="s">
        <v>187</v>
      </c>
      <c r="B129" s="74"/>
      <c r="C129" s="74"/>
      <c r="D129" s="74"/>
      <c r="E129" s="74"/>
      <c r="F129" s="77"/>
      <c r="G129" s="77"/>
      <c r="H129" s="77"/>
      <c r="I129" s="77"/>
      <c r="J129" s="77"/>
      <c r="K129" s="74"/>
      <c r="L129" s="74"/>
      <c r="O129" s="70" t="s">
        <v>229</v>
      </c>
      <c r="P129" s="98">
        <v>0.875</v>
      </c>
    </row>
    <row r="130" spans="1:19" ht="15" thickBot="1" x14ac:dyDescent="0.35">
      <c r="A130" s="81" t="s">
        <v>306</v>
      </c>
      <c r="B130" s="81"/>
      <c r="C130" s="74"/>
      <c r="D130" s="74"/>
      <c r="E130" s="161">
        <f>NPV(P128,F127:J127)</f>
        <v>23316.578457201464</v>
      </c>
      <c r="F130" s="74"/>
      <c r="G130" s="74"/>
      <c r="H130" s="74"/>
      <c r="I130" s="74"/>
      <c r="J130" s="74"/>
      <c r="K130" s="74"/>
      <c r="L130" s="74"/>
      <c r="O130" s="70" t="s">
        <v>230</v>
      </c>
      <c r="P130" s="98">
        <v>0.125</v>
      </c>
      <c r="S130" s="145"/>
    </row>
    <row r="131" spans="1:19" ht="15" thickTop="1" x14ac:dyDescent="0.3">
      <c r="A131" s="74" t="s">
        <v>286</v>
      </c>
      <c r="B131" s="74"/>
      <c r="C131" s="74"/>
      <c r="D131" s="74"/>
      <c r="E131" s="108">
        <f>K18</f>
        <v>11263.17</v>
      </c>
      <c r="F131" s="74"/>
      <c r="G131" s="74"/>
      <c r="H131" s="74"/>
      <c r="I131" s="74"/>
      <c r="J131" s="74"/>
      <c r="K131" s="74"/>
      <c r="L131" s="74"/>
      <c r="O131" s="70" t="s">
        <v>232</v>
      </c>
      <c r="P131" s="98">
        <v>6.7500000000000004E-2</v>
      </c>
    </row>
    <row r="132" spans="1:19" x14ac:dyDescent="0.3">
      <c r="A132" s="74" t="s">
        <v>190</v>
      </c>
      <c r="B132" s="74"/>
      <c r="C132" s="74"/>
      <c r="D132" s="74"/>
      <c r="E132" s="82">
        <f>E130-E131</f>
        <v>12053.408457201464</v>
      </c>
      <c r="F132" s="74"/>
      <c r="G132" s="74"/>
      <c r="H132" s="74"/>
      <c r="I132" s="74"/>
      <c r="J132" s="74"/>
      <c r="K132" s="74"/>
      <c r="L132" s="74"/>
    </row>
    <row r="133" spans="1:19" x14ac:dyDescent="0.3">
      <c r="A133" s="74" t="s">
        <v>236</v>
      </c>
      <c r="B133" s="74"/>
      <c r="C133" s="74"/>
      <c r="D133" s="80">
        <v>11.262</v>
      </c>
      <c r="E133" s="74"/>
      <c r="F133" s="74"/>
      <c r="G133" s="74"/>
      <c r="H133" s="74"/>
      <c r="I133" s="74"/>
      <c r="J133" s="74"/>
      <c r="K133" s="74"/>
      <c r="L133" s="74"/>
    </row>
    <row r="134" spans="1:19" ht="15" thickBot="1" x14ac:dyDescent="0.35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</row>
    <row r="135" spans="1:19" ht="15" thickBot="1" x14ac:dyDescent="0.35">
      <c r="A135" s="83" t="s">
        <v>191</v>
      </c>
      <c r="B135" s="83"/>
      <c r="C135" s="83"/>
      <c r="D135" s="83"/>
      <c r="E135" s="113">
        <f>E132/D133</f>
        <v>1070.2724611260401</v>
      </c>
    </row>
    <row r="137" spans="1:19" ht="15" thickBot="1" x14ac:dyDescent="0.35">
      <c r="E137" s="186" t="s">
        <v>287</v>
      </c>
      <c r="F137" s="186"/>
      <c r="G137" s="186"/>
    </row>
    <row r="138" spans="1:19" ht="15.6" thickTop="1" thickBot="1" x14ac:dyDescent="0.35">
      <c r="E138" s="151" t="s">
        <v>293</v>
      </c>
      <c r="F138" s="151" t="s">
        <v>292</v>
      </c>
      <c r="G138" s="151" t="s">
        <v>291</v>
      </c>
    </row>
    <row r="139" spans="1:19" ht="15.6" thickTop="1" thickBot="1" x14ac:dyDescent="0.35">
      <c r="A139" s="86"/>
      <c r="E139" s="148" t="s">
        <v>288</v>
      </c>
      <c r="F139" s="146">
        <f>Airtel!E137</f>
        <v>1667.7772362339929</v>
      </c>
      <c r="G139" s="146">
        <f>'Airtel-Tata '!I9</f>
        <v>1575</v>
      </c>
    </row>
    <row r="140" spans="1:19" ht="15.6" thickTop="1" thickBot="1" x14ac:dyDescent="0.35">
      <c r="E140" s="148" t="s">
        <v>289</v>
      </c>
      <c r="F140" s="146">
        <f>E135</f>
        <v>1070.2724611260401</v>
      </c>
      <c r="G140" s="146">
        <f>'Airtel-Tata '!I10</f>
        <v>1319</v>
      </c>
    </row>
    <row r="141" spans="1:19" ht="15.6" thickTop="1" thickBot="1" x14ac:dyDescent="0.35">
      <c r="B141" s="60"/>
      <c r="E141" s="148" t="s">
        <v>290</v>
      </c>
      <c r="F141" s="146">
        <f>'Combined Entity '!F43</f>
        <v>2794.6088135721498</v>
      </c>
      <c r="G141" s="148"/>
    </row>
    <row r="142" spans="1:19" ht="15" thickTop="1" x14ac:dyDescent="0.3">
      <c r="B142" s="102"/>
    </row>
  </sheetData>
  <mergeCells count="2">
    <mergeCell ref="R121:S121"/>
    <mergeCell ref="E137:G137"/>
  </mergeCells>
  <conditionalFormatting sqref="B15:K15">
    <cfRule type="cellIs" dxfId="135" priority="13" operator="greaterThan">
      <formula>B1048552</formula>
    </cfRule>
    <cfRule type="cellIs" dxfId="134" priority="12" operator="lessThan">
      <formula>B1048552</formula>
    </cfRule>
  </conditionalFormatting>
  <conditionalFormatting sqref="B56:K56">
    <cfRule type="cellIs" dxfId="133" priority="74" operator="greaterThan">
      <formula>B13</formula>
    </cfRule>
    <cfRule type="cellIs" dxfId="132" priority="73" operator="lessThan">
      <formula>B13</formula>
    </cfRule>
  </conditionalFormatting>
  <conditionalFormatting sqref="B68:K68">
    <cfRule type="cellIs" dxfId="131" priority="28" operator="lessThan">
      <formula>A68</formula>
    </cfRule>
    <cfRule type="cellIs" dxfId="130" priority="30" operator="lessThan">
      <formula>A68</formula>
    </cfRule>
    <cfRule type="cellIs" dxfId="129" priority="29" operator="greaterThan">
      <formula>A68</formula>
    </cfRule>
    <cfRule type="cellIs" dxfId="128" priority="27" operator="greaterThan">
      <formula>A68</formula>
    </cfRule>
  </conditionalFormatting>
  <conditionalFormatting sqref="B92:K9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3:K9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ellIs" dxfId="127" priority="43" operator="greaterThanOrEqual">
      <formula>0.295</formula>
    </cfRule>
    <cfRule type="cellIs" dxfId="126" priority="44" operator="lessThan">
      <formula>0.295</formula>
    </cfRule>
  </conditionalFormatting>
  <conditionalFormatting sqref="B92:Q9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 E18 G18 I18 K18">
    <cfRule type="cellIs" dxfId="125" priority="14" operator="greaterThan">
      <formula>B18</formula>
    </cfRule>
    <cfRule type="cellIs" dxfId="124" priority="15" operator="lessThan">
      <formula>B18</formula>
    </cfRule>
    <cfRule type="cellIs" dxfId="123" priority="16" operator="greaterThan">
      <formula>B18</formula>
    </cfRule>
    <cfRule type="cellIs" dxfId="122" priority="17" operator="lessThan">
      <formula>B18</formula>
    </cfRule>
  </conditionalFormatting>
  <conditionalFormatting sqref="C48 E48:K48">
    <cfRule type="cellIs" dxfId="121" priority="72" operator="lessThan">
      <formula>B48</formula>
    </cfRule>
    <cfRule type="cellIs" dxfId="120" priority="71" operator="greaterThan">
      <formula>B48</formula>
    </cfRule>
  </conditionalFormatting>
  <conditionalFormatting sqref="C16:K16">
    <cfRule type="cellIs" dxfId="119" priority="42" operator="lessThan">
      <formula>C15</formula>
    </cfRule>
    <cfRule type="cellIs" dxfId="118" priority="41" operator="greaterThanOrEqual">
      <formula>C15</formula>
    </cfRule>
  </conditionalFormatting>
  <conditionalFormatting sqref="C19:K19">
    <cfRule type="cellIs" dxfId="117" priority="19" operator="lessThan">
      <formula>B19</formula>
    </cfRule>
    <cfRule type="cellIs" dxfId="116" priority="18" operator="greaterThan">
      <formula>B19</formula>
    </cfRule>
  </conditionalFormatting>
  <conditionalFormatting sqref="C20:K20">
    <cfRule type="cellIs" dxfId="115" priority="21" operator="greaterThan">
      <formula>B20</formula>
    </cfRule>
    <cfRule type="cellIs" dxfId="114" priority="20" operator="lessThan">
      <formula>B20</formula>
    </cfRule>
  </conditionalFormatting>
  <conditionalFormatting sqref="C28:K28">
    <cfRule type="cellIs" dxfId="113" priority="62" operator="greaterThan">
      <formula>0.25</formula>
    </cfRule>
    <cfRule type="cellIs" dxfId="112" priority="64" operator="lessThan">
      <formula>0.1</formula>
    </cfRule>
  </conditionalFormatting>
  <conditionalFormatting sqref="C29:K29">
    <cfRule type="cellIs" dxfId="111" priority="61" operator="greaterThan">
      <formula>0.25</formula>
    </cfRule>
    <cfRule type="cellIs" dxfId="110" priority="63" operator="lessThan">
      <formula>0.07</formula>
    </cfRule>
  </conditionalFormatting>
  <conditionalFormatting sqref="C30:K30">
    <cfRule type="cellIs" dxfId="109" priority="59" operator="greaterThan">
      <formula>0.35</formula>
    </cfRule>
    <cfRule type="cellIs" dxfId="108" priority="60" operator="lessThan">
      <formula>0.1</formula>
    </cfRule>
  </conditionalFormatting>
  <conditionalFormatting sqref="C40:K40 C48:K48">
    <cfRule type="cellIs" dxfId="107" priority="69" operator="greaterThan">
      <formula>B40</formula>
    </cfRule>
    <cfRule type="cellIs" dxfId="106" priority="70" operator="lessThan">
      <formula>B40</formula>
    </cfRule>
  </conditionalFormatting>
  <conditionalFormatting sqref="C41:K41">
    <cfRule type="cellIs" dxfId="105" priority="45" operator="lessThan">
      <formula>B41</formula>
    </cfRule>
    <cfRule type="cellIs" dxfId="104" priority="46" operator="greaterThan">
      <formula>B41</formula>
    </cfRule>
  </conditionalFormatting>
  <conditionalFormatting sqref="C53:K53">
    <cfRule type="cellIs" dxfId="103" priority="75" operator="lessThan">
      <formula>1</formula>
    </cfRule>
  </conditionalFormatting>
  <conditionalFormatting sqref="C69:K73">
    <cfRule type="cellIs" dxfId="102" priority="25" operator="lessThan">
      <formula>B69</formula>
    </cfRule>
    <cfRule type="cellIs" dxfId="101" priority="24" operator="greaterThan">
      <formula>B69</formula>
    </cfRule>
    <cfRule type="cellIs" dxfId="100" priority="23" operator="lessThan">
      <formula>B69</formula>
    </cfRule>
    <cfRule type="cellIs" dxfId="99" priority="22" operator="greaterThan">
      <formula>B69</formula>
    </cfRule>
  </conditionalFormatting>
  <conditionalFormatting sqref="C3:L3">
    <cfRule type="cellIs" dxfId="98" priority="39" operator="lessThan">
      <formula>B3</formula>
    </cfRule>
    <cfRule type="cellIs" dxfId="97" priority="40" operator="greaterThan">
      <formula>B3</formula>
    </cfRule>
  </conditionalFormatting>
  <conditionalFormatting sqref="C5:L5">
    <cfRule type="cellIs" dxfId="96" priority="53" operator="lessThan">
      <formula>B5</formula>
    </cfRule>
    <cfRule type="cellIs" dxfId="95" priority="54" operator="greaterThan">
      <formula>B5</formula>
    </cfRule>
  </conditionalFormatting>
  <conditionalFormatting sqref="C14:L14">
    <cfRule type="cellIs" dxfId="94" priority="51" operator="lessThan">
      <formula>B14</formula>
    </cfRule>
    <cfRule type="cellIs" dxfId="93" priority="52" operator="greaterThan">
      <formula>B14</formula>
    </cfRule>
  </conditionalFormatting>
  <conditionalFormatting sqref="D33:K33">
    <cfRule type="cellIs" dxfId="92" priority="37" operator="lessThan">
      <formula>C33</formula>
    </cfRule>
    <cfRule type="cellIs" dxfId="91" priority="38" operator="greaterThan">
      <formula>C33</formula>
    </cfRule>
  </conditionalFormatting>
  <conditionalFormatting sqref="D34:K34">
    <cfRule type="cellIs" dxfId="90" priority="50" operator="lessThan">
      <formula>C34</formula>
    </cfRule>
    <cfRule type="cellIs" dxfId="89" priority="49" operator="greaterThan">
      <formula>C34</formula>
    </cfRule>
  </conditionalFormatting>
  <conditionalFormatting sqref="D35:K35">
    <cfRule type="cellIs" dxfId="88" priority="48" operator="greaterThan">
      <formula>C35</formula>
    </cfRule>
    <cfRule type="cellIs" dxfId="87" priority="47" operator="lessThan">
      <formula>C35</formula>
    </cfRule>
  </conditionalFormatting>
  <conditionalFormatting sqref="D36:K36">
    <cfRule type="cellIs" dxfId="86" priority="31" operator="greaterThan">
      <formula>C36</formula>
    </cfRule>
    <cfRule type="cellIs" dxfId="85" priority="32" operator="lessThan">
      <formula>C36</formula>
    </cfRule>
  </conditionalFormatting>
  <conditionalFormatting sqref="F139:G1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0:G14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1:K31 D37:K37">
    <cfRule type="cellIs" dxfId="84" priority="55" operator="lessThan">
      <formula>C31</formula>
    </cfRule>
    <cfRule type="cellIs" dxfId="83" priority="56" operator="greaterThan">
      <formula>C31</formula>
    </cfRule>
  </conditionalFormatting>
  <conditionalFormatting sqref="L92:Q9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5">
    <cfRule type="cellIs" dxfId="82" priority="36" operator="greaterThan">
      <formula>M13</formula>
    </cfRule>
    <cfRule type="cellIs" dxfId="81" priority="35" operator="lessThan">
      <formula>M13</formula>
    </cfRule>
  </conditionalFormatting>
  <conditionalFormatting sqref="M16">
    <cfRule type="cellIs" dxfId="80" priority="34" operator="lessThan">
      <formula>M15</formula>
    </cfRule>
    <cfRule type="cellIs" dxfId="79" priority="33" operator="greaterThanOrEqual">
      <formula>M15</formula>
    </cfRule>
  </conditionalFormatting>
  <conditionalFormatting sqref="M20">
    <cfRule type="cellIs" dxfId="78" priority="8" operator="lessThan">
      <formula>0</formula>
    </cfRule>
    <cfRule type="cellIs" dxfId="77" priority="7" operator="greaterThan">
      <formula>0</formula>
    </cfRule>
  </conditionalFormatting>
  <conditionalFormatting sqref="M21 L46">
    <cfRule type="cellIs" dxfId="76" priority="66" operator="greaterThan">
      <formula>$L$45</formula>
    </cfRule>
  </conditionalFormatting>
  <conditionalFormatting sqref="N18">
    <cfRule type="cellIs" dxfId="75" priority="57" operator="greaterThan">
      <formula>$N$17</formula>
    </cfRule>
    <cfRule type="cellIs" dxfId="74" priority="58" operator="lessThan">
      <formula>$N$17</formula>
    </cfRule>
  </conditionalFormatting>
  <conditionalFormatting sqref="N19">
    <cfRule type="cellIs" dxfId="73" priority="65" operator="lessThan">
      <formula>1</formula>
    </cfRule>
  </conditionalFormatting>
  <conditionalFormatting sqref="O10">
    <cfRule type="cellIs" dxfId="72" priority="11" operator="lessThan">
      <formula>10</formula>
    </cfRule>
  </conditionalFormatting>
  <conditionalFormatting sqref="O13">
    <cfRule type="cellIs" dxfId="71" priority="10" operator="greaterThan">
      <formula>22.5</formula>
    </cfRule>
  </conditionalFormatting>
  <conditionalFormatting sqref="O14">
    <cfRule type="cellIs" dxfId="70" priority="9" operator="greaterThanOrEqual">
      <formula>0.04</formula>
    </cfRule>
  </conditionalFormatting>
  <conditionalFormatting sqref="Q17">
    <cfRule type="cellIs" dxfId="69" priority="26" operator="greaterThan">
      <formula>15</formula>
    </cfRule>
  </conditionalFormatting>
  <conditionalFormatting sqref="S16 P54">
    <cfRule type="cellIs" dxfId="68" priority="67" operator="lessThan">
      <formula>#REF!</formula>
    </cfRule>
    <cfRule type="cellIs" dxfId="67" priority="68" operator="greaterThan">
      <formula>#REF!</formula>
    </cfRule>
  </conditionalFormatting>
  <conditionalFormatting sqref="T18:XFD18">
    <cfRule type="cellIs" dxfId="66" priority="76" operator="lessThan">
      <formula>#REF!</formula>
    </cfRule>
    <cfRule type="cellIs" dxfId="65" priority="77" operator="greaterThan">
      <formula>#REF!</formula>
    </cfRule>
  </conditionalFormatting>
  <pageMargins left="0.7" right="0.7" top="0.75" bottom="0.75" header="0.3" footer="0.3"/>
  <pageSetup paperSize="9" orientation="portrait" r:id="rId1"/>
  <ignoredErrors>
    <ignoredError sqref="B12:K14 E23:K23 O10 O13:O14 N19 M22 C28:K29 C36:K36 B42:K42 B44:K44 B50:K50 C53:K53 B64 B66:K66 B68:K73" evalError="1"/>
    <ignoredError sqref="L3:L14 C32:K32 C31:D31" formulaRange="1"/>
    <ignoredError sqref="O12 C33:K35 E31:K31 C30:K30" evalError="1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span" xr2:uid="{D3973D9B-B575-4E26-B169-DB34132F17C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'Tata Comm'!O4:S4</xm:f>
              <xm:sqref>T4</xm:sqref>
            </x14:sparkline>
            <x14:sparkline>
              <xm:f>'Tata Comm'!O5:S5</xm:f>
              <xm:sqref>T5</xm:sqref>
            </x14:sparkline>
            <x14:sparkline>
              <xm:f>'Tata Comm'!O6:S6</xm:f>
              <xm:sqref>T6</xm:sqref>
            </x14:sparkline>
          </x14:sparklines>
        </x14:sparklineGroup>
        <x14:sparklineGroup manualMax="0" manualMin="0" type="column" displayEmptyCellsAs="span" xr2:uid="{7A596264-B05F-472D-A8C8-412BB875F84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'Tata Comm'!O3:S3</xm:f>
              <xm:sqref>T3</xm:sqref>
            </x14:sparkline>
          </x14:sparklines>
        </x14:sparklineGroup>
        <x14:sparklineGroup type="column" displayEmptyCellsAs="span" xr2:uid="{B7F1734C-EAC8-439D-835C-80864510EA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'Tata Comm'!L92:Q92</xm:f>
              <xm:sqref>R92</xm:sqref>
            </x14:sparkline>
          </x14:sparklines>
        </x14:sparklineGroup>
        <x14:sparklineGroup type="column" displayEmptyCellsAs="span" xr2:uid="{A50BA46C-F95E-439D-9453-542DA4B8D74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'Tata Comm'!B93:K93</xm:f>
              <xm:sqref>L93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07FF-DB5D-4A10-B2C8-8F3041192795}">
  <dimension ref="B3:M20"/>
  <sheetViews>
    <sheetView showGridLines="0" topLeftCell="A2" zoomScale="110" workbookViewId="0">
      <selection activeCell="H9" sqref="H9"/>
    </sheetView>
  </sheetViews>
  <sheetFormatPr defaultRowHeight="14.4" x14ac:dyDescent="0.3"/>
  <cols>
    <col min="2" max="2" width="24.44140625" customWidth="1"/>
    <col min="3" max="3" width="18" customWidth="1"/>
    <col min="4" max="4" width="21" customWidth="1"/>
    <col min="5" max="5" width="9" customWidth="1"/>
    <col min="6" max="6" width="9.21875" customWidth="1"/>
    <col min="9" max="9" width="22.21875" customWidth="1"/>
    <col min="10" max="10" width="10.109375" customWidth="1"/>
    <col min="11" max="11" width="9.88671875" customWidth="1"/>
  </cols>
  <sheetData>
    <row r="3" spans="2:13" ht="15" thickBot="1" x14ac:dyDescent="0.35">
      <c r="B3" s="187" t="s">
        <v>300</v>
      </c>
      <c r="C3" s="187"/>
      <c r="D3" s="187"/>
      <c r="E3" s="187"/>
      <c r="F3" s="187"/>
      <c r="I3" s="187" t="s">
        <v>299</v>
      </c>
      <c r="J3" s="187"/>
      <c r="K3" s="187"/>
      <c r="L3" s="187"/>
      <c r="M3" s="187"/>
    </row>
    <row r="4" spans="2:13" ht="15.6" thickTop="1" thickBot="1" x14ac:dyDescent="0.35">
      <c r="B4" s="159" t="s">
        <v>198</v>
      </c>
      <c r="C4" s="159" t="s">
        <v>294</v>
      </c>
      <c r="D4" s="159" t="s">
        <v>295</v>
      </c>
      <c r="E4" s="159" t="s">
        <v>296</v>
      </c>
      <c r="F4" s="159" t="s">
        <v>297</v>
      </c>
      <c r="I4" s="159" t="s">
        <v>198</v>
      </c>
      <c r="J4" s="159" t="s">
        <v>294</v>
      </c>
      <c r="K4" s="159" t="s">
        <v>295</v>
      </c>
      <c r="L4" s="159" t="s">
        <v>296</v>
      </c>
      <c r="M4" s="159" t="s">
        <v>297</v>
      </c>
    </row>
    <row r="5" spans="2:13" ht="15.6" thickTop="1" thickBot="1" x14ac:dyDescent="0.35">
      <c r="B5" s="157" t="s">
        <v>14</v>
      </c>
      <c r="C5" s="158">
        <v>6.6699999999999995E-2</v>
      </c>
      <c r="D5" s="158">
        <v>0.13170000000000001</v>
      </c>
      <c r="E5" s="158">
        <v>0.14230000000000001</v>
      </c>
      <c r="F5" s="158">
        <v>8.48E-2</v>
      </c>
      <c r="I5" s="157" t="s">
        <v>14</v>
      </c>
      <c r="J5" s="158">
        <v>5.7999999999999996E-3</v>
      </c>
      <c r="K5" s="158">
        <v>2.52E-2</v>
      </c>
      <c r="L5" s="158">
        <v>4.8800000000000003E-2</v>
      </c>
      <c r="M5" s="158">
        <v>7.0300000000000001E-2</v>
      </c>
    </row>
    <row r="6" spans="2:13" ht="30" thickTop="1" thickBot="1" x14ac:dyDescent="0.35">
      <c r="B6" s="157" t="s">
        <v>68</v>
      </c>
      <c r="C6" s="158">
        <v>0.45540000000000003</v>
      </c>
      <c r="D6" s="158">
        <v>0.48670000000000002</v>
      </c>
      <c r="E6" s="158">
        <v>0.51049999999999995</v>
      </c>
      <c r="F6" s="158">
        <v>0.52559999999999996</v>
      </c>
      <c r="I6" s="157" t="s">
        <v>68</v>
      </c>
      <c r="J6" s="158">
        <v>0.1865</v>
      </c>
      <c r="K6" s="158">
        <v>0.2072</v>
      </c>
      <c r="L6" s="158">
        <v>0.2266</v>
      </c>
      <c r="M6" s="158">
        <v>0.23</v>
      </c>
    </row>
    <row r="7" spans="2:13" ht="30" thickTop="1" thickBot="1" x14ac:dyDescent="0.35">
      <c r="B7" s="157" t="s">
        <v>298</v>
      </c>
      <c r="C7" s="158">
        <v>0.1013</v>
      </c>
      <c r="D7" s="158">
        <v>0.78720000000000001</v>
      </c>
      <c r="E7" s="158">
        <v>-1.7910999999999999</v>
      </c>
      <c r="F7" s="158">
        <v>2.2953000000000001</v>
      </c>
      <c r="I7" s="157" t="s">
        <v>298</v>
      </c>
      <c r="J7" s="158">
        <v>1.0869</v>
      </c>
      <c r="K7" s="158">
        <v>-3.39E-2</v>
      </c>
      <c r="L7" s="158">
        <v>-2.637</v>
      </c>
      <c r="M7" s="158">
        <v>-8.1699999999999995E-2</v>
      </c>
    </row>
    <row r="8" spans="2:13" ht="15" thickTop="1" x14ac:dyDescent="0.3"/>
    <row r="9" spans="2:13" ht="15" thickBot="1" x14ac:dyDescent="0.35"/>
    <row r="10" spans="2:13" ht="15.6" thickTop="1" thickBot="1" x14ac:dyDescent="0.35">
      <c r="B10" s="181" t="s">
        <v>311</v>
      </c>
      <c r="C10" s="182" t="s">
        <v>321</v>
      </c>
      <c r="D10" s="182" t="s">
        <v>320</v>
      </c>
    </row>
    <row r="11" spans="2:13" ht="15.6" thickTop="1" thickBot="1" x14ac:dyDescent="0.35">
      <c r="B11" s="163" t="s">
        <v>302</v>
      </c>
      <c r="C11" s="164">
        <v>0.13100000000000001</v>
      </c>
      <c r="D11" s="164">
        <v>0.17599999999999999</v>
      </c>
    </row>
    <row r="12" spans="2:13" ht="15.6" thickTop="1" thickBot="1" x14ac:dyDescent="0.35">
      <c r="B12" s="163" t="s">
        <v>303</v>
      </c>
      <c r="C12" s="164">
        <v>0.14899999999999999</v>
      </c>
      <c r="D12" s="164">
        <v>0.65200000000000002</v>
      </c>
    </row>
    <row r="13" spans="2:13" ht="15.6" thickTop="1" thickBot="1" x14ac:dyDescent="0.35">
      <c r="B13" s="163" t="s">
        <v>304</v>
      </c>
      <c r="C13" s="146">
        <v>43.2</v>
      </c>
      <c r="D13" s="146">
        <v>39.200000000000003</v>
      </c>
    </row>
    <row r="14" spans="2:13" ht="15.6" thickTop="1" thickBot="1" x14ac:dyDescent="0.35">
      <c r="B14" s="163" t="s">
        <v>307</v>
      </c>
      <c r="C14" s="146">
        <v>12.6</v>
      </c>
      <c r="D14" s="146">
        <v>10.7</v>
      </c>
    </row>
    <row r="15" spans="2:13" ht="15.6" thickTop="1" thickBot="1" x14ac:dyDescent="0.35">
      <c r="B15" s="163" t="s">
        <v>310</v>
      </c>
      <c r="C15" s="165">
        <f>942786</f>
        <v>942786</v>
      </c>
      <c r="D15" s="165">
        <f>37513</f>
        <v>37513</v>
      </c>
    </row>
    <row r="16" spans="2:13" ht="15" thickTop="1" x14ac:dyDescent="0.3"/>
    <row r="19" spans="4:4" x14ac:dyDescent="0.3">
      <c r="D19" s="162" t="s">
        <v>308</v>
      </c>
    </row>
    <row r="20" spans="4:4" x14ac:dyDescent="0.3">
      <c r="D20" s="160" t="s">
        <v>309</v>
      </c>
    </row>
  </sheetData>
  <mergeCells count="2">
    <mergeCell ref="B3:F3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6EEF-B5D6-41B2-9D03-B58555F0194F}">
  <dimension ref="B1:I22"/>
  <sheetViews>
    <sheetView zoomScale="69" workbookViewId="0">
      <selection activeCell="E22" sqref="E22"/>
    </sheetView>
  </sheetViews>
  <sheetFormatPr defaultRowHeight="14.4" x14ac:dyDescent="0.3"/>
  <cols>
    <col min="2" max="2" width="24.44140625" customWidth="1"/>
    <col min="3" max="3" width="20" customWidth="1"/>
    <col min="4" max="4" width="22.109375" customWidth="1"/>
    <col min="5" max="5" width="33.44140625" customWidth="1"/>
    <col min="6" max="6" width="26.77734375" customWidth="1"/>
    <col min="7" max="7" width="25.44140625" customWidth="1"/>
    <col min="8" max="8" width="31.21875" customWidth="1"/>
    <col min="9" max="9" width="16.21875" customWidth="1"/>
  </cols>
  <sheetData>
    <row r="1" spans="2:9" ht="18" x14ac:dyDescent="0.35">
      <c r="B1" s="189" t="s">
        <v>233</v>
      </c>
      <c r="C1" s="189"/>
      <c r="D1" s="189"/>
      <c r="E1" s="189"/>
      <c r="F1" s="189"/>
      <c r="G1" s="189"/>
    </row>
    <row r="2" spans="2:9" x14ac:dyDescent="0.3">
      <c r="B2" s="70" t="s">
        <v>226</v>
      </c>
      <c r="C2" s="70">
        <v>2017</v>
      </c>
      <c r="D2" s="70">
        <v>2018</v>
      </c>
      <c r="E2" s="70">
        <v>2019</v>
      </c>
      <c r="F2" s="70">
        <v>2020</v>
      </c>
      <c r="G2" s="70">
        <v>2021</v>
      </c>
      <c r="H2" s="70">
        <v>2022</v>
      </c>
      <c r="I2" s="70">
        <v>2023</v>
      </c>
    </row>
    <row r="3" spans="2:9" x14ac:dyDescent="0.3">
      <c r="B3" s="71" t="s">
        <v>223</v>
      </c>
      <c r="C3" s="95">
        <v>0.68700000000000006</v>
      </c>
      <c r="D3" s="95">
        <v>0.64800000000000002</v>
      </c>
      <c r="E3" s="95">
        <v>0.64800000000000002</v>
      </c>
      <c r="F3" s="95">
        <v>0.65200000000000002</v>
      </c>
      <c r="G3" s="95">
        <v>0.63900000000000001</v>
      </c>
      <c r="H3" s="95">
        <v>0.63900000000000001</v>
      </c>
      <c r="I3" s="95">
        <v>0.67</v>
      </c>
    </row>
    <row r="4" spans="2:9" x14ac:dyDescent="0.3">
      <c r="B4" s="71" t="s">
        <v>215</v>
      </c>
      <c r="C4" s="95">
        <v>0.30599999999999999</v>
      </c>
      <c r="D4" s="95">
        <v>0.34499999999999997</v>
      </c>
      <c r="E4" s="95">
        <v>0.34599999999999997</v>
      </c>
      <c r="F4" s="95">
        <v>0.34300000000000003</v>
      </c>
      <c r="G4" s="95">
        <v>0.35899999999999999</v>
      </c>
      <c r="H4" s="95">
        <v>0.35899999999999999</v>
      </c>
      <c r="I4" s="95">
        <v>0.32800000000000001</v>
      </c>
    </row>
    <row r="5" spans="2:9" x14ac:dyDescent="0.3">
      <c r="B5" s="71" t="s">
        <v>225</v>
      </c>
      <c r="C5" s="95">
        <v>6.0000000000000001E-3</v>
      </c>
      <c r="D5" s="95">
        <v>7.0000000000000001E-3</v>
      </c>
      <c r="E5" s="95">
        <v>6.0000000000000001E-3</v>
      </c>
      <c r="F5" s="95">
        <v>5.0000000000000001E-3</v>
      </c>
      <c r="G5" s="95">
        <v>4.0000000000000001E-3</v>
      </c>
      <c r="H5" s="95">
        <v>2E-3</v>
      </c>
      <c r="I5" s="95">
        <v>3.0000000000000001E-3</v>
      </c>
    </row>
    <row r="9" spans="2:9" x14ac:dyDescent="0.3">
      <c r="B9" s="96" t="s">
        <v>208</v>
      </c>
      <c r="C9" s="96" t="s">
        <v>209</v>
      </c>
      <c r="D9" s="96" t="s">
        <v>210</v>
      </c>
      <c r="E9" s="96" t="s">
        <v>211</v>
      </c>
      <c r="F9" s="96" t="s">
        <v>212</v>
      </c>
      <c r="G9" s="96" t="s">
        <v>213</v>
      </c>
      <c r="H9" s="96" t="s">
        <v>214</v>
      </c>
    </row>
    <row r="10" spans="2:9" x14ac:dyDescent="0.3">
      <c r="B10" s="96" t="s">
        <v>215</v>
      </c>
      <c r="C10" s="104">
        <v>0.10493973704915902</v>
      </c>
      <c r="D10" s="104">
        <v>5.834716553752646E-2</v>
      </c>
      <c r="E10" s="104">
        <v>6.163973704915901E-2</v>
      </c>
      <c r="F10" s="104">
        <v>0.27421914500863898</v>
      </c>
      <c r="G10" s="96">
        <v>8.3065162885116936E-2</v>
      </c>
      <c r="H10" s="96">
        <v>2508220.6789325164</v>
      </c>
    </row>
    <row r="11" spans="2:9" x14ac:dyDescent="0.3">
      <c r="B11" s="96" t="s">
        <v>216</v>
      </c>
      <c r="C11" s="104">
        <v>5.4008616059682123E-2</v>
      </c>
      <c r="D11" s="104">
        <v>1.0802216663582305E-2</v>
      </c>
      <c r="E11" s="104">
        <v>1.0708616059682126E-2</v>
      </c>
      <c r="F11" s="104">
        <v>0.2534417911673511</v>
      </c>
      <c r="G11" s="96">
        <v>1.54E-2</v>
      </c>
      <c r="H11" s="96">
        <v>32948678.067337982</v>
      </c>
    </row>
    <row r="12" spans="2:9" x14ac:dyDescent="0.3">
      <c r="B12" s="96"/>
      <c r="C12" s="96"/>
      <c r="D12" s="96"/>
      <c r="E12" s="96"/>
      <c r="F12" s="96"/>
      <c r="G12" s="96"/>
      <c r="H12" s="96"/>
    </row>
    <row r="14" spans="2:9" ht="15.6" x14ac:dyDescent="0.3">
      <c r="B14" s="103" t="s">
        <v>217</v>
      </c>
      <c r="C14" s="99" t="s">
        <v>218</v>
      </c>
      <c r="D14" s="100" t="s">
        <v>219</v>
      </c>
      <c r="E14" s="101" t="s">
        <v>220</v>
      </c>
      <c r="F14" s="101" t="s">
        <v>221</v>
      </c>
      <c r="G14" s="101" t="s">
        <v>222</v>
      </c>
    </row>
    <row r="15" spans="2:9" x14ac:dyDescent="0.3">
      <c r="B15" s="96" t="s">
        <v>223</v>
      </c>
      <c r="C15" s="104" t="s">
        <v>224</v>
      </c>
      <c r="D15" s="104">
        <v>2.1767594429291676E-2</v>
      </c>
      <c r="E15" s="104">
        <v>7.2646033830067944E-2</v>
      </c>
      <c r="F15" s="104">
        <v>2.9346033830067942E-2</v>
      </c>
      <c r="G15" s="104">
        <v>0.3</v>
      </c>
    </row>
    <row r="18" spans="2:7" x14ac:dyDescent="0.3">
      <c r="B18" s="188" t="s">
        <v>227</v>
      </c>
      <c r="C18" s="188"/>
    </row>
    <row r="19" spans="2:7" x14ac:dyDescent="0.3">
      <c r="B19" t="s">
        <v>228</v>
      </c>
      <c r="C19" s="184">
        <f>C10*I4+C11*I5+E15*I3</f>
        <v>8.3255102266448722E-2</v>
      </c>
    </row>
    <row r="21" spans="2:7" x14ac:dyDescent="0.3">
      <c r="B21" s="186" t="s">
        <v>234</v>
      </c>
      <c r="C21" s="186"/>
      <c r="D21" s="33"/>
      <c r="E21" s="33"/>
      <c r="F21" s="33"/>
      <c r="G21" s="33"/>
    </row>
    <row r="22" spans="2:7" x14ac:dyDescent="0.3">
      <c r="B22" t="s">
        <v>235</v>
      </c>
      <c r="C22" s="183">
        <f>E15</f>
        <v>7.2646033830067944E-2</v>
      </c>
    </row>
  </sheetData>
  <mergeCells count="3">
    <mergeCell ref="B18:C18"/>
    <mergeCell ref="B1:G1"/>
    <mergeCell ref="B21:C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3"/>
  <sheetViews>
    <sheetView zoomScale="75" zoomScaleNormal="10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7" sqref="B7"/>
    </sheetView>
  </sheetViews>
  <sheetFormatPr defaultColWidth="8.88671875" defaultRowHeight="14.4" x14ac:dyDescent="0.3"/>
  <cols>
    <col min="1" max="1" width="27.6640625" style="3" bestFit="1" customWidth="1"/>
    <col min="2" max="11" width="13.44140625" style="3" bestFit="1" customWidth="1"/>
    <col min="12" max="16384" width="8.88671875" style="3"/>
  </cols>
  <sheetData>
    <row r="1" spans="1:17" s="1" customFormat="1" x14ac:dyDescent="0.3">
      <c r="A1" s="1" t="s">
        <v>0</v>
      </c>
      <c r="B1" s="1" t="s">
        <v>37</v>
      </c>
      <c r="E1" s="190" t="str">
        <f>IF(B2&lt;&gt;B3, "A NEW VERSION OF THE WORKSHEET IS AVAILABLE", "")</f>
        <v/>
      </c>
      <c r="F1" s="190"/>
      <c r="G1" s="190"/>
      <c r="H1" s="190"/>
      <c r="I1" s="190"/>
      <c r="J1" s="190"/>
      <c r="K1" s="190"/>
    </row>
    <row r="2" spans="1:17" x14ac:dyDescent="0.3">
      <c r="A2" s="1" t="s">
        <v>35</v>
      </c>
      <c r="B2" s="3">
        <v>2.1</v>
      </c>
      <c r="E2" s="191" t="s">
        <v>26</v>
      </c>
      <c r="F2" s="191"/>
      <c r="G2" s="191"/>
      <c r="H2" s="191"/>
      <c r="I2" s="191"/>
      <c r="J2" s="191"/>
      <c r="K2" s="191"/>
    </row>
    <row r="3" spans="1:17" x14ac:dyDescent="0.3">
      <c r="A3" s="1" t="s">
        <v>36</v>
      </c>
      <c r="B3" s="3">
        <v>2.1</v>
      </c>
    </row>
    <row r="4" spans="1:17" x14ac:dyDescent="0.3">
      <c r="A4" s="1"/>
    </row>
    <row r="5" spans="1:17" x14ac:dyDescent="0.3">
      <c r="A5" s="1" t="s">
        <v>38</v>
      </c>
    </row>
    <row r="6" spans="1:17" x14ac:dyDescent="0.3">
      <c r="A6" s="3" t="s">
        <v>32</v>
      </c>
      <c r="B6" s="3">
        <f>IF(B9&gt;0, B9/B8, 0)</f>
        <v>28.5</v>
      </c>
    </row>
    <row r="7" spans="1:17" x14ac:dyDescent="0.3">
      <c r="A7" s="3" t="s">
        <v>21</v>
      </c>
      <c r="B7">
        <v>10</v>
      </c>
    </row>
    <row r="8" spans="1:17" x14ac:dyDescent="0.3">
      <c r="A8" s="3" t="s">
        <v>33</v>
      </c>
      <c r="B8">
        <v>1352.5</v>
      </c>
    </row>
    <row r="9" spans="1:17" x14ac:dyDescent="0.3">
      <c r="A9" s="3" t="s">
        <v>48</v>
      </c>
      <c r="B9">
        <v>38546.25</v>
      </c>
    </row>
    <row r="15" spans="1:17" x14ac:dyDescent="0.3">
      <c r="A15" s="1" t="s">
        <v>27</v>
      </c>
    </row>
    <row r="16" spans="1:17" s="8" customFormat="1" x14ac:dyDescent="0.3">
      <c r="A16" s="7" t="s">
        <v>28</v>
      </c>
      <c r="B16" s="6">
        <v>42094</v>
      </c>
      <c r="C16" s="6">
        <v>42460</v>
      </c>
      <c r="D16" s="6">
        <v>42825</v>
      </c>
      <c r="E16" s="6">
        <v>43190</v>
      </c>
      <c r="F16" s="6">
        <v>43555</v>
      </c>
      <c r="G16" s="6">
        <v>43921</v>
      </c>
      <c r="H16" s="6">
        <v>44286</v>
      </c>
      <c r="I16" s="6">
        <v>44651</v>
      </c>
      <c r="J16" s="6">
        <v>45016</v>
      </c>
      <c r="K16" s="6">
        <v>45382</v>
      </c>
      <c r="L16" s="6">
        <v>45747</v>
      </c>
      <c r="M16" s="6">
        <v>46112</v>
      </c>
      <c r="N16" s="6">
        <v>46477</v>
      </c>
      <c r="O16" s="6">
        <v>46843</v>
      </c>
      <c r="P16" s="6">
        <v>47208</v>
      </c>
      <c r="Q16" s="6">
        <v>47573</v>
      </c>
    </row>
    <row r="17" spans="1:11" s="4" customFormat="1" x14ac:dyDescent="0.3">
      <c r="A17" s="4" t="s">
        <v>2</v>
      </c>
      <c r="B17">
        <v>19913.34</v>
      </c>
      <c r="C17">
        <v>18148.580000000002</v>
      </c>
      <c r="D17">
        <v>17619.73</v>
      </c>
      <c r="E17">
        <v>16771.689999999999</v>
      </c>
      <c r="F17">
        <v>16524.95</v>
      </c>
      <c r="G17">
        <v>17067.990000000002</v>
      </c>
      <c r="H17">
        <v>17100.099999999999</v>
      </c>
      <c r="I17">
        <v>16724.73</v>
      </c>
      <c r="J17">
        <v>17838.259999999998</v>
      </c>
      <c r="K17">
        <v>20968.82</v>
      </c>
    </row>
    <row r="18" spans="1:11" s="4" customFormat="1" x14ac:dyDescent="0.3">
      <c r="A18" s="3" t="s">
        <v>49</v>
      </c>
      <c r="B18"/>
      <c r="C18"/>
      <c r="D18"/>
      <c r="E18"/>
      <c r="F18"/>
      <c r="G18"/>
      <c r="H18"/>
      <c r="I18"/>
      <c r="J18"/>
      <c r="K18"/>
    </row>
    <row r="19" spans="1:11" s="4" customFormat="1" x14ac:dyDescent="0.3">
      <c r="A19" s="3" t="s">
        <v>50</v>
      </c>
      <c r="B19"/>
      <c r="C19"/>
      <c r="D19"/>
      <c r="E19"/>
      <c r="F19"/>
      <c r="G19"/>
      <c r="H19"/>
      <c r="I19"/>
      <c r="J19"/>
      <c r="K19"/>
    </row>
    <row r="20" spans="1:11" s="4" customFormat="1" x14ac:dyDescent="0.3">
      <c r="A20" s="3" t="s">
        <v>51</v>
      </c>
      <c r="B20">
        <v>433.67</v>
      </c>
      <c r="C20">
        <v>252.04</v>
      </c>
      <c r="D20">
        <v>271</v>
      </c>
      <c r="E20">
        <v>253.75</v>
      </c>
      <c r="F20">
        <v>283.86</v>
      </c>
      <c r="G20">
        <v>293</v>
      </c>
      <c r="H20">
        <v>269.11</v>
      </c>
      <c r="I20">
        <v>273.02</v>
      </c>
      <c r="J20">
        <v>316.58</v>
      </c>
      <c r="K20">
        <v>355.84</v>
      </c>
    </row>
    <row r="21" spans="1:11" s="4" customFormat="1" x14ac:dyDescent="0.3">
      <c r="A21" s="3" t="s">
        <v>52</v>
      </c>
      <c r="B21">
        <v>11595.11</v>
      </c>
      <c r="C21">
        <v>10738.8</v>
      </c>
      <c r="D21">
        <v>10125.85</v>
      </c>
      <c r="E21">
        <v>9205.52</v>
      </c>
      <c r="F21">
        <v>8489</v>
      </c>
      <c r="G21">
        <v>8670.36</v>
      </c>
      <c r="H21">
        <v>8222.19</v>
      </c>
      <c r="I21">
        <v>7951.89</v>
      </c>
      <c r="J21">
        <v>8219.33</v>
      </c>
      <c r="K21">
        <v>10148.69</v>
      </c>
    </row>
    <row r="22" spans="1:11" s="4" customFormat="1" x14ac:dyDescent="0.3">
      <c r="A22" s="3" t="s">
        <v>53</v>
      </c>
      <c r="B22">
        <v>2809.35</v>
      </c>
      <c r="C22">
        <v>2739.56</v>
      </c>
      <c r="D22">
        <v>2839.41</v>
      </c>
      <c r="E22">
        <v>2977.52</v>
      </c>
      <c r="F22">
        <v>2959.66</v>
      </c>
      <c r="G22">
        <v>3039.14</v>
      </c>
      <c r="H22">
        <v>3049.09</v>
      </c>
      <c r="I22">
        <v>3040.34</v>
      </c>
      <c r="J22">
        <v>3597.46</v>
      </c>
      <c r="K22">
        <v>4452.95</v>
      </c>
    </row>
    <row r="23" spans="1:11" s="4" customFormat="1" x14ac:dyDescent="0.3">
      <c r="A23" s="3" t="s">
        <v>54</v>
      </c>
      <c r="B23">
        <v>1751.04</v>
      </c>
      <c r="C23">
        <v>1624.45</v>
      </c>
      <c r="D23">
        <v>1643.43</v>
      </c>
      <c r="E23">
        <v>1517.92</v>
      </c>
      <c r="F23">
        <v>1567.95</v>
      </c>
      <c r="G23">
        <v>1381.48</v>
      </c>
      <c r="H23">
        <v>973.68</v>
      </c>
      <c r="I23">
        <v>980.13</v>
      </c>
      <c r="J23">
        <v>1083.02</v>
      </c>
      <c r="K23">
        <v>1361.88</v>
      </c>
    </row>
    <row r="24" spans="1:11" s="4" customFormat="1" x14ac:dyDescent="0.3">
      <c r="A24" s="3" t="s">
        <v>55</v>
      </c>
      <c r="B24">
        <v>330.12</v>
      </c>
      <c r="C24">
        <v>359.49</v>
      </c>
      <c r="D24">
        <v>334.14</v>
      </c>
      <c r="E24">
        <v>404.76</v>
      </c>
      <c r="F24">
        <v>479.63</v>
      </c>
      <c r="G24">
        <v>395.06</v>
      </c>
      <c r="H24">
        <v>325.45</v>
      </c>
      <c r="I24">
        <v>252.63</v>
      </c>
      <c r="J24">
        <v>303.64</v>
      </c>
      <c r="K24">
        <v>419.36</v>
      </c>
    </row>
    <row r="25" spans="1:11" s="4" customFormat="1" x14ac:dyDescent="0.3">
      <c r="A25" s="4" t="s">
        <v>5</v>
      </c>
      <c r="B25">
        <v>291.24</v>
      </c>
      <c r="C25">
        <v>82.42</v>
      </c>
      <c r="D25">
        <v>1293.82</v>
      </c>
      <c r="E25">
        <v>-115.86</v>
      </c>
      <c r="F25">
        <v>62.5</v>
      </c>
      <c r="G25">
        <v>-320.83</v>
      </c>
      <c r="H25">
        <v>82.04</v>
      </c>
      <c r="I25">
        <v>338.05</v>
      </c>
      <c r="J25">
        <v>439.5</v>
      </c>
      <c r="K25">
        <v>46.81</v>
      </c>
    </row>
    <row r="26" spans="1:11" s="4" customFormat="1" x14ac:dyDescent="0.3">
      <c r="A26" s="4" t="s">
        <v>6</v>
      </c>
      <c r="B26">
        <v>2161.09</v>
      </c>
      <c r="C26">
        <v>1864.29</v>
      </c>
      <c r="D26">
        <v>1865.77</v>
      </c>
      <c r="E26">
        <v>1906.3</v>
      </c>
      <c r="F26">
        <v>2067.6</v>
      </c>
      <c r="G26">
        <v>2357.7199999999998</v>
      </c>
      <c r="H26">
        <v>2313.87</v>
      </c>
      <c r="I26">
        <v>2204.54</v>
      </c>
      <c r="J26">
        <v>2261.81</v>
      </c>
      <c r="K26">
        <v>2469.67</v>
      </c>
    </row>
    <row r="27" spans="1:11" s="4" customFormat="1" x14ac:dyDescent="0.3">
      <c r="A27" s="4" t="s">
        <v>7</v>
      </c>
      <c r="B27">
        <v>750.79</v>
      </c>
      <c r="C27">
        <v>409.06</v>
      </c>
      <c r="D27">
        <v>367.19</v>
      </c>
      <c r="E27">
        <v>344.45</v>
      </c>
      <c r="F27">
        <v>396.55</v>
      </c>
      <c r="G27">
        <v>470.74</v>
      </c>
      <c r="H27">
        <v>420.2</v>
      </c>
      <c r="I27">
        <v>360.25</v>
      </c>
      <c r="J27">
        <v>432.46</v>
      </c>
      <c r="K27">
        <v>644.15</v>
      </c>
    </row>
    <row r="28" spans="1:11" s="4" customFormat="1" x14ac:dyDescent="0.3">
      <c r="A28" s="4" t="s">
        <v>8</v>
      </c>
      <c r="B28">
        <v>373.41</v>
      </c>
      <c r="C28">
        <v>243.31</v>
      </c>
      <c r="D28">
        <v>1466.76</v>
      </c>
      <c r="E28">
        <v>45.61</v>
      </c>
      <c r="F28">
        <v>343.2</v>
      </c>
      <c r="G28">
        <v>139.66</v>
      </c>
      <c r="H28">
        <v>1608.55</v>
      </c>
      <c r="I28">
        <v>1999.98</v>
      </c>
      <c r="J28">
        <v>2063.46</v>
      </c>
      <c r="K28">
        <v>1163.0899999999999</v>
      </c>
    </row>
    <row r="29" spans="1:11" s="4" customFormat="1" x14ac:dyDescent="0.3">
      <c r="A29" s="4" t="s">
        <v>9</v>
      </c>
      <c r="B29">
        <v>370.46</v>
      </c>
      <c r="C29">
        <v>232.85</v>
      </c>
      <c r="D29">
        <v>236.38</v>
      </c>
      <c r="E29">
        <v>354.92</v>
      </c>
      <c r="F29">
        <v>273.32</v>
      </c>
      <c r="G29">
        <v>226.67</v>
      </c>
      <c r="H29">
        <v>354.89</v>
      </c>
      <c r="I29">
        <v>522.13</v>
      </c>
      <c r="J29">
        <v>296.62</v>
      </c>
      <c r="K29">
        <v>213.5</v>
      </c>
    </row>
    <row r="30" spans="1:11" s="4" customFormat="1" x14ac:dyDescent="0.3">
      <c r="A30" s="4" t="s">
        <v>10</v>
      </c>
      <c r="B30">
        <v>1.29</v>
      </c>
      <c r="C30">
        <v>8.68</v>
      </c>
      <c r="D30">
        <v>1232.8699999999999</v>
      </c>
      <c r="E30">
        <v>-328.6</v>
      </c>
      <c r="F30">
        <v>-82.37</v>
      </c>
      <c r="G30">
        <v>-85.96</v>
      </c>
      <c r="H30">
        <v>1250.6300000000001</v>
      </c>
      <c r="I30">
        <v>1481.76</v>
      </c>
      <c r="J30">
        <v>1795.96</v>
      </c>
      <c r="K30">
        <v>968.34</v>
      </c>
    </row>
    <row r="31" spans="1:11" s="4" customFormat="1" x14ac:dyDescent="0.3">
      <c r="A31" s="4" t="s">
        <v>39</v>
      </c>
      <c r="B31">
        <v>156.75</v>
      </c>
      <c r="C31">
        <v>122.55</v>
      </c>
      <c r="D31">
        <v>171</v>
      </c>
      <c r="E31">
        <v>128.25</v>
      </c>
      <c r="F31">
        <v>128.25</v>
      </c>
      <c r="G31">
        <v>114</v>
      </c>
      <c r="H31">
        <v>399</v>
      </c>
      <c r="I31">
        <v>589.95000000000005</v>
      </c>
      <c r="J31">
        <v>598.5</v>
      </c>
      <c r="K31">
        <v>475.95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1" t="s">
        <v>29</v>
      </c>
    </row>
    <row r="41" spans="1:11" s="8" customFormat="1" x14ac:dyDescent="0.3">
      <c r="A41" s="7" t="s">
        <v>28</v>
      </c>
      <c r="B41" s="6">
        <v>44834</v>
      </c>
      <c r="C41" s="6">
        <v>44926</v>
      </c>
      <c r="D41" s="6">
        <v>45016</v>
      </c>
      <c r="E41" s="6">
        <v>45107</v>
      </c>
      <c r="F41" s="6">
        <v>45199</v>
      </c>
      <c r="G41" s="6">
        <v>45291</v>
      </c>
      <c r="H41" s="6">
        <v>45382</v>
      </c>
      <c r="I41" s="6">
        <v>45473</v>
      </c>
      <c r="J41" s="6">
        <v>45565</v>
      </c>
      <c r="K41" s="6">
        <v>45657</v>
      </c>
    </row>
    <row r="42" spans="1:11" s="4" customFormat="1" x14ac:dyDescent="0.3">
      <c r="A42" s="4" t="s">
        <v>2</v>
      </c>
      <c r="B42">
        <v>4430.74</v>
      </c>
      <c r="C42">
        <v>4528.34</v>
      </c>
      <c r="D42">
        <v>4568.66</v>
      </c>
      <c r="E42">
        <v>4771.3599999999997</v>
      </c>
      <c r="F42">
        <v>4872.5</v>
      </c>
      <c r="G42">
        <v>5587.78</v>
      </c>
      <c r="H42">
        <v>5691.7</v>
      </c>
      <c r="I42">
        <v>5633.37</v>
      </c>
      <c r="J42">
        <v>5727.85</v>
      </c>
      <c r="K42">
        <v>5798.07</v>
      </c>
    </row>
    <row r="43" spans="1:11" s="4" customFormat="1" x14ac:dyDescent="0.3">
      <c r="A43" s="4" t="s">
        <v>3</v>
      </c>
      <c r="B43">
        <v>3301.12</v>
      </c>
      <c r="C43">
        <v>3450.98</v>
      </c>
      <c r="D43">
        <v>3534.44</v>
      </c>
      <c r="E43">
        <v>3747.32</v>
      </c>
      <c r="F43">
        <v>3857.05</v>
      </c>
      <c r="G43">
        <v>4434.68</v>
      </c>
      <c r="H43">
        <v>4635.3999999999996</v>
      </c>
      <c r="I43">
        <v>4509.16</v>
      </c>
      <c r="J43">
        <v>4598.47</v>
      </c>
      <c r="K43">
        <v>4617.12</v>
      </c>
    </row>
    <row r="44" spans="1:11" s="4" customFormat="1" x14ac:dyDescent="0.3">
      <c r="A44" s="4" t="s">
        <v>5</v>
      </c>
      <c r="B44">
        <v>112.97</v>
      </c>
      <c r="C44">
        <v>30.75</v>
      </c>
      <c r="D44">
        <v>61.79</v>
      </c>
      <c r="E44">
        <v>190.6</v>
      </c>
      <c r="F44">
        <v>25.36</v>
      </c>
      <c r="G44">
        <v>-211.88</v>
      </c>
      <c r="H44">
        <v>4.8899999999999997</v>
      </c>
      <c r="I44">
        <v>112.05</v>
      </c>
      <c r="J44">
        <v>29.11</v>
      </c>
      <c r="K44">
        <v>-6.85</v>
      </c>
    </row>
    <row r="45" spans="1:11" s="4" customFormat="1" x14ac:dyDescent="0.3">
      <c r="A45" s="4" t="s">
        <v>6</v>
      </c>
      <c r="B45">
        <v>551.63</v>
      </c>
      <c r="C45">
        <v>554.82000000000005</v>
      </c>
      <c r="D45">
        <v>618.5</v>
      </c>
      <c r="E45">
        <v>579.74</v>
      </c>
      <c r="F45">
        <v>605.12</v>
      </c>
      <c r="G45">
        <v>603.01</v>
      </c>
      <c r="H45">
        <v>665.84</v>
      </c>
      <c r="I45">
        <v>647.37</v>
      </c>
      <c r="J45">
        <v>648.16</v>
      </c>
      <c r="K45">
        <v>637.14</v>
      </c>
    </row>
    <row r="46" spans="1:11" s="4" customFormat="1" x14ac:dyDescent="0.3">
      <c r="A46" s="4" t="s">
        <v>7</v>
      </c>
      <c r="B46">
        <v>97.78</v>
      </c>
      <c r="C46">
        <v>122.67</v>
      </c>
      <c r="D46">
        <v>132.11000000000001</v>
      </c>
      <c r="E46">
        <v>131.03</v>
      </c>
      <c r="F46">
        <v>137.41999999999999</v>
      </c>
      <c r="G46">
        <v>184.46</v>
      </c>
      <c r="H46">
        <v>188.15</v>
      </c>
      <c r="I46">
        <v>172.2</v>
      </c>
      <c r="J46">
        <v>189.43</v>
      </c>
      <c r="K46">
        <v>186.89</v>
      </c>
    </row>
    <row r="47" spans="1:11" s="4" customFormat="1" x14ac:dyDescent="0.3">
      <c r="A47" s="4" t="s">
        <v>8</v>
      </c>
      <c r="B47">
        <v>593.17999999999995</v>
      </c>
      <c r="C47">
        <v>430.62</v>
      </c>
      <c r="D47">
        <v>345.4</v>
      </c>
      <c r="E47">
        <v>503.87</v>
      </c>
      <c r="F47">
        <v>298.27</v>
      </c>
      <c r="G47">
        <v>153.75</v>
      </c>
      <c r="H47">
        <v>207.2</v>
      </c>
      <c r="I47">
        <v>416.69</v>
      </c>
      <c r="J47">
        <v>320.89999999999998</v>
      </c>
      <c r="K47">
        <v>350.07</v>
      </c>
    </row>
    <row r="48" spans="1:11" s="4" customFormat="1" x14ac:dyDescent="0.3">
      <c r="A48" s="4" t="s">
        <v>9</v>
      </c>
      <c r="B48">
        <v>65.849999999999994</v>
      </c>
      <c r="C48">
        <v>43.58</v>
      </c>
      <c r="D48">
        <v>28.05</v>
      </c>
      <c r="E48">
        <v>130.63</v>
      </c>
      <c r="F48">
        <v>77.88</v>
      </c>
      <c r="G48">
        <v>113.47</v>
      </c>
      <c r="H48">
        <v>-108.48</v>
      </c>
      <c r="I48">
        <v>86.79</v>
      </c>
      <c r="J48">
        <v>97.62</v>
      </c>
      <c r="K48">
        <v>126.19</v>
      </c>
    </row>
    <row r="49" spans="1:11" s="4" customFormat="1" x14ac:dyDescent="0.3">
      <c r="A49" s="4" t="s">
        <v>10</v>
      </c>
      <c r="B49">
        <v>532.29</v>
      </c>
      <c r="C49">
        <v>393.88</v>
      </c>
      <c r="D49">
        <v>326.02999999999997</v>
      </c>
      <c r="E49">
        <v>381.69</v>
      </c>
      <c r="F49">
        <v>220.66</v>
      </c>
      <c r="G49">
        <v>44.81</v>
      </c>
      <c r="H49">
        <v>321.18</v>
      </c>
      <c r="I49">
        <v>332.84</v>
      </c>
      <c r="J49">
        <v>227.23</v>
      </c>
      <c r="K49">
        <v>235.96</v>
      </c>
    </row>
    <row r="50" spans="1:11" x14ac:dyDescent="0.3">
      <c r="A50" s="4" t="s">
        <v>4</v>
      </c>
      <c r="B50">
        <v>1129.6199999999999</v>
      </c>
      <c r="C50">
        <v>1077.3599999999999</v>
      </c>
      <c r="D50">
        <v>1034.22</v>
      </c>
      <c r="E50">
        <v>1024.04</v>
      </c>
      <c r="F50">
        <v>1015.45</v>
      </c>
      <c r="G50">
        <v>1153.0999999999999</v>
      </c>
      <c r="H50">
        <v>1056.3</v>
      </c>
      <c r="I50">
        <v>1124.21</v>
      </c>
      <c r="J50">
        <v>1129.3800000000001</v>
      </c>
      <c r="K50">
        <v>1180.95</v>
      </c>
    </row>
    <row r="51" spans="1:11" x14ac:dyDescent="0.3">
      <c r="A51" s="4"/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1" t="s">
        <v>30</v>
      </c>
    </row>
    <row r="56" spans="1:11" s="8" customFormat="1" x14ac:dyDescent="0.3">
      <c r="A56" s="7" t="s">
        <v>28</v>
      </c>
      <c r="B56" s="6">
        <v>42094</v>
      </c>
      <c r="C56" s="6">
        <v>42460</v>
      </c>
      <c r="D56" s="6">
        <v>42825</v>
      </c>
      <c r="E56" s="6">
        <v>43190</v>
      </c>
      <c r="F56" s="6">
        <v>43555</v>
      </c>
      <c r="G56" s="6">
        <v>43921</v>
      </c>
      <c r="H56" s="6">
        <v>44286</v>
      </c>
      <c r="I56" s="6">
        <v>44651</v>
      </c>
      <c r="J56" s="6">
        <v>45016</v>
      </c>
      <c r="K56" s="6">
        <v>45382</v>
      </c>
    </row>
    <row r="57" spans="1:11" x14ac:dyDescent="0.3">
      <c r="A57" s="4" t="s">
        <v>15</v>
      </c>
      <c r="B57">
        <v>285</v>
      </c>
      <c r="C57">
        <v>285</v>
      </c>
      <c r="D57">
        <v>285</v>
      </c>
      <c r="E57">
        <v>285</v>
      </c>
      <c r="F57">
        <v>285</v>
      </c>
      <c r="G57">
        <v>285</v>
      </c>
      <c r="H57">
        <v>285</v>
      </c>
      <c r="I57">
        <v>285</v>
      </c>
      <c r="J57">
        <v>285</v>
      </c>
      <c r="K57">
        <v>285</v>
      </c>
    </row>
    <row r="58" spans="1:11" x14ac:dyDescent="0.3">
      <c r="A58" s="4" t="s">
        <v>16</v>
      </c>
      <c r="B58">
        <v>36.47</v>
      </c>
      <c r="C58">
        <v>-648.36</v>
      </c>
      <c r="D58">
        <v>1306.9000000000001</v>
      </c>
      <c r="E58">
        <v>214.32</v>
      </c>
      <c r="F58">
        <v>-466.81</v>
      </c>
      <c r="G58">
        <v>-1563.36</v>
      </c>
      <c r="H58">
        <v>-169.54</v>
      </c>
      <c r="I58">
        <v>642.59</v>
      </c>
      <c r="J58">
        <v>1233.26</v>
      </c>
      <c r="K58">
        <v>1501.42</v>
      </c>
    </row>
    <row r="59" spans="1:11" x14ac:dyDescent="0.3">
      <c r="A59" s="4" t="s">
        <v>40</v>
      </c>
      <c r="B59">
        <v>13075.72</v>
      </c>
      <c r="C59">
        <v>14230.86</v>
      </c>
      <c r="D59">
        <v>9213.6</v>
      </c>
      <c r="E59">
        <v>8926.9699999999993</v>
      </c>
      <c r="F59">
        <v>9934.94</v>
      </c>
      <c r="G59">
        <v>12413.49</v>
      </c>
      <c r="H59">
        <v>11393.6</v>
      </c>
      <c r="I59">
        <v>9121.5400000000009</v>
      </c>
      <c r="J59">
        <v>8576.64</v>
      </c>
      <c r="K59">
        <v>11263.17</v>
      </c>
    </row>
    <row r="60" spans="1:11" x14ac:dyDescent="0.3">
      <c r="A60" s="4" t="s">
        <v>41</v>
      </c>
      <c r="B60">
        <v>10798.06</v>
      </c>
      <c r="C60">
        <v>11230.03</v>
      </c>
      <c r="D60">
        <v>10227.75</v>
      </c>
      <c r="E60">
        <v>10130.93</v>
      </c>
      <c r="F60">
        <v>10198.02</v>
      </c>
      <c r="G60">
        <v>10995.97</v>
      </c>
      <c r="H60">
        <v>9796.51</v>
      </c>
      <c r="I60">
        <v>9588.3799999999992</v>
      </c>
      <c r="J60">
        <v>10424.41</v>
      </c>
      <c r="K60">
        <v>11315.85</v>
      </c>
    </row>
    <row r="61" spans="1:11" s="1" customFormat="1" x14ac:dyDescent="0.3">
      <c r="A61" s="1" t="s">
        <v>17</v>
      </c>
      <c r="B61">
        <v>24195.25</v>
      </c>
      <c r="C61">
        <v>25097.53</v>
      </c>
      <c r="D61">
        <v>21033.25</v>
      </c>
      <c r="E61">
        <v>19557.22</v>
      </c>
      <c r="F61">
        <v>19951.150000000001</v>
      </c>
      <c r="G61">
        <v>22131.1</v>
      </c>
      <c r="H61">
        <v>21305.57</v>
      </c>
      <c r="I61">
        <v>19637.509999999998</v>
      </c>
      <c r="J61">
        <v>20519.310000000001</v>
      </c>
      <c r="K61">
        <v>24365.439999999999</v>
      </c>
    </row>
    <row r="62" spans="1:11" x14ac:dyDescent="0.3">
      <c r="A62" s="4" t="s">
        <v>18</v>
      </c>
      <c r="B62">
        <v>14703.82</v>
      </c>
      <c r="C62">
        <v>14443.81</v>
      </c>
      <c r="D62">
        <v>10928.51</v>
      </c>
      <c r="E62">
        <v>10796.54</v>
      </c>
      <c r="F62">
        <v>11289.39</v>
      </c>
      <c r="G62">
        <v>12768.18</v>
      </c>
      <c r="H62">
        <v>11519.61</v>
      </c>
      <c r="I62">
        <v>10936.2</v>
      </c>
      <c r="J62">
        <v>10499.58</v>
      </c>
      <c r="K62">
        <v>13467.41</v>
      </c>
    </row>
    <row r="63" spans="1:11" x14ac:dyDescent="0.3">
      <c r="A63" s="4" t="s">
        <v>19</v>
      </c>
      <c r="B63">
        <v>638.34</v>
      </c>
      <c r="C63">
        <v>799.82</v>
      </c>
      <c r="D63">
        <v>750.92</v>
      </c>
      <c r="E63">
        <v>520.30999999999995</v>
      </c>
      <c r="F63">
        <v>361.34</v>
      </c>
      <c r="G63">
        <v>348.86</v>
      </c>
      <c r="H63">
        <v>492.92</v>
      </c>
      <c r="I63">
        <v>852.46</v>
      </c>
      <c r="J63">
        <v>1148.06</v>
      </c>
      <c r="K63">
        <v>1327.03</v>
      </c>
    </row>
    <row r="64" spans="1:11" x14ac:dyDescent="0.3">
      <c r="A64" s="4" t="s">
        <v>20</v>
      </c>
      <c r="B64">
        <v>1767.5</v>
      </c>
      <c r="C64">
        <v>1837.22</v>
      </c>
      <c r="D64">
        <v>2433.96</v>
      </c>
      <c r="E64">
        <v>1250.19</v>
      </c>
      <c r="F64">
        <v>1491.27</v>
      </c>
      <c r="G64">
        <v>1563.1</v>
      </c>
      <c r="H64">
        <v>2233.36</v>
      </c>
      <c r="I64">
        <v>1565.23</v>
      </c>
      <c r="J64">
        <v>1950.55</v>
      </c>
      <c r="K64">
        <v>1608.22</v>
      </c>
    </row>
    <row r="65" spans="1:11" x14ac:dyDescent="0.3">
      <c r="A65" s="4" t="s">
        <v>42</v>
      </c>
      <c r="B65">
        <v>7085.59</v>
      </c>
      <c r="C65">
        <v>8016.68</v>
      </c>
      <c r="D65">
        <v>6919.86</v>
      </c>
      <c r="E65">
        <v>6990.18</v>
      </c>
      <c r="F65">
        <v>6809.15</v>
      </c>
      <c r="G65">
        <v>7450.96</v>
      </c>
      <c r="H65">
        <v>7059.68</v>
      </c>
      <c r="I65">
        <v>6283.62</v>
      </c>
      <c r="J65">
        <v>6921.12</v>
      </c>
      <c r="K65">
        <v>7962.78</v>
      </c>
    </row>
    <row r="66" spans="1:11" s="1" customFormat="1" x14ac:dyDescent="0.3">
      <c r="A66" s="1" t="s">
        <v>17</v>
      </c>
      <c r="B66">
        <v>24195.25</v>
      </c>
      <c r="C66">
        <v>25097.53</v>
      </c>
      <c r="D66">
        <v>21033.25</v>
      </c>
      <c r="E66">
        <v>19557.22</v>
      </c>
      <c r="F66">
        <v>19951.150000000001</v>
      </c>
      <c r="G66">
        <v>22131.1</v>
      </c>
      <c r="H66">
        <v>21305.57</v>
      </c>
      <c r="I66">
        <v>19637.509999999998</v>
      </c>
      <c r="J66">
        <v>20519.310000000001</v>
      </c>
      <c r="K66">
        <v>24365.439999999999</v>
      </c>
    </row>
    <row r="67" spans="1:11" s="4" customFormat="1" x14ac:dyDescent="0.3">
      <c r="A67" s="4" t="s">
        <v>47</v>
      </c>
      <c r="B67">
        <v>2487</v>
      </c>
      <c r="C67">
        <v>3018.86</v>
      </c>
      <c r="D67">
        <v>2590.04</v>
      </c>
      <c r="E67">
        <v>2953.47</v>
      </c>
      <c r="F67">
        <v>2968.45</v>
      </c>
      <c r="G67">
        <v>3228.87</v>
      </c>
      <c r="H67">
        <v>2607.6799999999998</v>
      </c>
      <c r="I67">
        <v>2582.13</v>
      </c>
      <c r="J67">
        <v>2734.99</v>
      </c>
      <c r="K67">
        <v>3758.36</v>
      </c>
    </row>
    <row r="68" spans="1:11" x14ac:dyDescent="0.3">
      <c r="A68" s="4" t="s">
        <v>34</v>
      </c>
      <c r="B68">
        <v>26.4</v>
      </c>
      <c r="C68">
        <v>25.42</v>
      </c>
      <c r="D68">
        <v>19.2</v>
      </c>
      <c r="E68">
        <v>26.99</v>
      </c>
      <c r="F68">
        <v>76.58</v>
      </c>
      <c r="G68">
        <v>72.97</v>
      </c>
      <c r="H68">
        <v>34.44</v>
      </c>
      <c r="I68">
        <v>37.880000000000003</v>
      </c>
      <c r="J68">
        <v>160</v>
      </c>
      <c r="K68">
        <v>83.54</v>
      </c>
    </row>
    <row r="69" spans="1:11" x14ac:dyDescent="0.3">
      <c r="A69" s="3" t="s">
        <v>56</v>
      </c>
      <c r="B69">
        <v>1621.15</v>
      </c>
      <c r="C69">
        <v>1976.27</v>
      </c>
      <c r="D69">
        <v>1079.29</v>
      </c>
      <c r="E69">
        <v>1295.58</v>
      </c>
      <c r="F69">
        <v>852.08</v>
      </c>
      <c r="G69">
        <v>909.13</v>
      </c>
      <c r="H69">
        <v>927.1</v>
      </c>
      <c r="I69">
        <v>743.39</v>
      </c>
      <c r="J69">
        <v>1062.57</v>
      </c>
      <c r="K69">
        <v>842.45</v>
      </c>
    </row>
    <row r="70" spans="1:11" x14ac:dyDescent="0.3">
      <c r="A70" s="3" t="s">
        <v>43</v>
      </c>
      <c r="B70">
        <v>285000000</v>
      </c>
      <c r="C70">
        <v>285000000</v>
      </c>
      <c r="D70">
        <v>285000000</v>
      </c>
      <c r="E70">
        <v>285000000</v>
      </c>
      <c r="F70">
        <v>285000000</v>
      </c>
      <c r="G70">
        <v>285000000</v>
      </c>
      <c r="H70">
        <v>285000000</v>
      </c>
      <c r="I70">
        <v>285000000</v>
      </c>
      <c r="J70">
        <v>285000000</v>
      </c>
      <c r="K70">
        <v>285000000</v>
      </c>
    </row>
    <row r="71" spans="1:11" x14ac:dyDescent="0.3">
      <c r="A71" s="3" t="s">
        <v>44</v>
      </c>
      <c r="G71"/>
    </row>
    <row r="72" spans="1:11" x14ac:dyDescent="0.3">
      <c r="A72" s="3" t="s">
        <v>57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3" spans="1:11" x14ac:dyDescent="0.3">
      <c r="A73" s="65" t="s">
        <v>164</v>
      </c>
      <c r="B73" s="66">
        <v>-429</v>
      </c>
      <c r="C73" s="66">
        <v>372</v>
      </c>
      <c r="D73" s="66">
        <v>290</v>
      </c>
      <c r="E73" s="66">
        <v>-92</v>
      </c>
      <c r="F73" s="66">
        <v>70</v>
      </c>
      <c r="G73" s="66">
        <v>-26</v>
      </c>
      <c r="H73" s="66">
        <v>-555</v>
      </c>
      <c r="I73" s="66">
        <v>-297</v>
      </c>
      <c r="J73" s="66">
        <v>133</v>
      </c>
      <c r="K73" s="66">
        <v>-425</v>
      </c>
    </row>
    <row r="74" spans="1:11" x14ac:dyDescent="0.3">
      <c r="A74" s="3" t="s">
        <v>194</v>
      </c>
    </row>
    <row r="75" spans="1:11" x14ac:dyDescent="0.3">
      <c r="A75" s="3" t="s">
        <v>137</v>
      </c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31</v>
      </c>
    </row>
    <row r="81" spans="1:11" s="8" customFormat="1" x14ac:dyDescent="0.3">
      <c r="A81" s="7" t="s">
        <v>28</v>
      </c>
      <c r="B81" s="6">
        <v>42094</v>
      </c>
      <c r="C81" s="6">
        <v>42460</v>
      </c>
      <c r="D81" s="6">
        <v>42825</v>
      </c>
      <c r="E81" s="6">
        <v>43190</v>
      </c>
      <c r="F81" s="6">
        <v>43555</v>
      </c>
      <c r="G81" s="6">
        <v>43921</v>
      </c>
      <c r="H81" s="6">
        <v>44286</v>
      </c>
      <c r="I81" s="6">
        <v>44651</v>
      </c>
      <c r="J81" s="6">
        <v>45016</v>
      </c>
      <c r="K81" s="6">
        <v>45382</v>
      </c>
    </row>
    <row r="82" spans="1:11" s="1" customFormat="1" x14ac:dyDescent="0.3">
      <c r="A82" s="4" t="s">
        <v>22</v>
      </c>
      <c r="B82">
        <v>3028.34</v>
      </c>
      <c r="C82">
        <v>2362.69</v>
      </c>
      <c r="D82">
        <v>2393.5</v>
      </c>
      <c r="E82">
        <v>1712.81</v>
      </c>
      <c r="F82">
        <v>1844.33</v>
      </c>
      <c r="G82">
        <v>2524.7600000000002</v>
      </c>
      <c r="H82">
        <v>3179.83</v>
      </c>
      <c r="I82">
        <v>4203.82</v>
      </c>
      <c r="J82">
        <v>4384.3500000000004</v>
      </c>
      <c r="K82">
        <v>3182</v>
      </c>
    </row>
    <row r="83" spans="1:11" s="4" customFormat="1" x14ac:dyDescent="0.3">
      <c r="A83" s="4" t="s">
        <v>23</v>
      </c>
      <c r="B83">
        <v>-1908.16</v>
      </c>
      <c r="C83">
        <v>-2313.36</v>
      </c>
      <c r="D83">
        <v>939.87</v>
      </c>
      <c r="E83">
        <v>-500.08</v>
      </c>
      <c r="F83">
        <v>-2283.9499999999998</v>
      </c>
      <c r="G83">
        <v>-1521.49</v>
      </c>
      <c r="H83">
        <v>-2007.21</v>
      </c>
      <c r="I83">
        <v>-893.58</v>
      </c>
      <c r="J83">
        <v>-1835.93</v>
      </c>
      <c r="K83">
        <v>-2641.48</v>
      </c>
    </row>
    <row r="84" spans="1:11" s="4" customFormat="1" x14ac:dyDescent="0.3">
      <c r="A84" s="4" t="s">
        <v>24</v>
      </c>
      <c r="B84">
        <v>-1388.3</v>
      </c>
      <c r="C84">
        <v>-8.58</v>
      </c>
      <c r="D84">
        <v>-3275.72</v>
      </c>
      <c r="E84">
        <v>-959.11</v>
      </c>
      <c r="F84">
        <v>-27.7</v>
      </c>
      <c r="G84">
        <v>-942.33</v>
      </c>
      <c r="H84">
        <v>-1204.77</v>
      </c>
      <c r="I84">
        <v>-3431.23</v>
      </c>
      <c r="J84">
        <v>-2240.8000000000002</v>
      </c>
      <c r="K84">
        <v>-812.95</v>
      </c>
    </row>
    <row r="85" spans="1:11" s="1" customFormat="1" x14ac:dyDescent="0.3">
      <c r="A85" s="4" t="s">
        <v>25</v>
      </c>
      <c r="B85">
        <v>-268.12</v>
      </c>
      <c r="C85">
        <v>40.75</v>
      </c>
      <c r="D85">
        <v>57.65</v>
      </c>
      <c r="E85">
        <v>253.62</v>
      </c>
      <c r="F85">
        <v>-467.32</v>
      </c>
      <c r="G85">
        <v>60.94</v>
      </c>
      <c r="H85">
        <v>-32.15</v>
      </c>
      <c r="I85">
        <v>-120.99</v>
      </c>
      <c r="J85">
        <v>307.62</v>
      </c>
      <c r="K85">
        <v>-272.43</v>
      </c>
    </row>
    <row r="86" spans="1:11" x14ac:dyDescent="0.3">
      <c r="A86" s="4"/>
    </row>
    <row r="87" spans="1:11" x14ac:dyDescent="0.3">
      <c r="A87" s="4" t="s">
        <v>138</v>
      </c>
    </row>
    <row r="88" spans="1:11" x14ac:dyDescent="0.3">
      <c r="A88" s="4" t="s">
        <v>137</v>
      </c>
    </row>
    <row r="89" spans="1:11" x14ac:dyDescent="0.3">
      <c r="A89" s="4"/>
    </row>
    <row r="90" spans="1:11" s="1" customFormat="1" x14ac:dyDescent="0.3">
      <c r="A90" s="1" t="s">
        <v>46</v>
      </c>
      <c r="B90">
        <v>263.5</v>
      </c>
      <c r="C90">
        <v>235.78</v>
      </c>
      <c r="D90">
        <v>450.86</v>
      </c>
      <c r="E90">
        <v>387.23</v>
      </c>
      <c r="F90">
        <v>382.61</v>
      </c>
      <c r="G90">
        <v>233.15</v>
      </c>
      <c r="H90">
        <v>1062.8</v>
      </c>
      <c r="I90">
        <v>1228.5999999999999</v>
      </c>
      <c r="J90">
        <v>1245.5</v>
      </c>
      <c r="K90">
        <v>2010.4</v>
      </c>
    </row>
    <row r="92" spans="1:11" s="1" customFormat="1" x14ac:dyDescent="0.3">
      <c r="A92" s="1" t="s">
        <v>45</v>
      </c>
    </row>
    <row r="93" spans="1:11" x14ac:dyDescent="0.3">
      <c r="A93" s="3" t="s">
        <v>58</v>
      </c>
      <c r="B93" s="9">
        <v>28.5</v>
      </c>
      <c r="C93" s="9">
        <v>28.5</v>
      </c>
      <c r="D93" s="9">
        <v>28.5</v>
      </c>
      <c r="E93" s="9">
        <v>28.5</v>
      </c>
      <c r="F93" s="9">
        <v>28.5</v>
      </c>
      <c r="G93" s="9">
        <v>28.5</v>
      </c>
      <c r="H93" s="9">
        <v>28.5</v>
      </c>
      <c r="I93" s="9">
        <v>28.5</v>
      </c>
      <c r="J93" s="9">
        <v>28.5</v>
      </c>
      <c r="K93" s="9">
        <v>28.5</v>
      </c>
    </row>
  </sheetData>
  <mergeCells count="2">
    <mergeCell ref="E1:K1"/>
    <mergeCell ref="E2:K2"/>
  </mergeCells>
  <conditionalFormatting sqref="E1:K1">
    <cfRule type="cellIs" dxfId="64" priority="1" operator="notEqual">
      <formula>""</formula>
    </cfRule>
  </conditionalFormatting>
  <hyperlinks>
    <hyperlink ref="E1:K1" r:id="rId1" display="https://www.screener.in/excel/" xr:uid="{00000000-0004-0000-04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6A4C-D9BD-46EE-AB26-720CFEE11180}">
  <dimension ref="A1:AC137"/>
  <sheetViews>
    <sheetView zoomScale="75" workbookViewId="0">
      <pane ySplit="2" topLeftCell="A15" activePane="bottomLeft" state="frozen"/>
      <selection activeCell="B82" sqref="B82"/>
      <selection pane="bottomLeft" activeCell="O28" sqref="O28"/>
    </sheetView>
  </sheetViews>
  <sheetFormatPr defaultColWidth="9.109375" defaultRowHeight="14.4" x14ac:dyDescent="0.3"/>
  <cols>
    <col min="1" max="1" width="30.88671875" customWidth="1"/>
    <col min="2" max="4" width="11.6640625" customWidth="1"/>
    <col min="5" max="5" width="15.33203125" customWidth="1"/>
    <col min="6" max="11" width="11.6640625" customWidth="1"/>
    <col min="12" max="12" width="17.88671875" bestFit="1" customWidth="1"/>
    <col min="13" max="13" width="17.109375" customWidth="1"/>
    <col min="14" max="14" width="12.5546875" bestFit="1" customWidth="1"/>
    <col min="15" max="15" width="32.21875" customWidth="1"/>
    <col min="16" max="16" width="14" customWidth="1"/>
    <col min="17" max="17" width="20.77734375" customWidth="1"/>
    <col min="18" max="18" width="19.77734375" bestFit="1" customWidth="1"/>
    <col min="19" max="19" width="18" customWidth="1"/>
    <col min="20" max="20" width="24.109375" customWidth="1"/>
    <col min="21" max="21" width="26.21875" customWidth="1"/>
    <col min="22" max="22" width="30.21875" bestFit="1" customWidth="1"/>
    <col min="23" max="23" width="11.88671875" bestFit="1" customWidth="1"/>
    <col min="24" max="24" width="40.6640625" bestFit="1" customWidth="1"/>
    <col min="25" max="25" width="6.109375" bestFit="1" customWidth="1"/>
    <col min="26" max="26" width="5.109375" bestFit="1" customWidth="1"/>
    <col min="27" max="27" width="6.109375" bestFit="1" customWidth="1"/>
    <col min="28" max="28" width="5.44140625" bestFit="1" customWidth="1"/>
  </cols>
  <sheetData>
    <row r="1" spans="1:20" x14ac:dyDescent="0.3">
      <c r="A1" s="2" t="s">
        <v>59</v>
      </c>
      <c r="D1" s="2" t="str">
        <f>+'Airtel-input'!B1</f>
        <v>BHARTI AIRTEL LTD</v>
      </c>
      <c r="L1" s="10">
        <f>+'Airtel-input'!K41</f>
        <v>45657</v>
      </c>
      <c r="M1" t="s">
        <v>60</v>
      </c>
      <c r="Q1" s="11"/>
      <c r="R1" s="12"/>
    </row>
    <row r="2" spans="1:20" s="2" customFormat="1" x14ac:dyDescent="0.3">
      <c r="A2" s="13" t="s">
        <v>1</v>
      </c>
      <c r="B2" s="14">
        <f>+'Airtel-input'!B16</f>
        <v>42094</v>
      </c>
      <c r="C2" s="14">
        <f>+'Airtel-input'!C16</f>
        <v>42460</v>
      </c>
      <c r="D2" s="14">
        <f>+'Airtel-input'!D16</f>
        <v>42825</v>
      </c>
      <c r="E2" s="14">
        <f>+'Airtel-input'!E16</f>
        <v>43190</v>
      </c>
      <c r="F2" s="14">
        <f>+'Airtel-input'!F16</f>
        <v>43555</v>
      </c>
      <c r="G2" s="14">
        <f>+'Airtel-input'!G16</f>
        <v>43921</v>
      </c>
      <c r="H2" s="14">
        <f>+'Airtel-input'!H16</f>
        <v>44286</v>
      </c>
      <c r="I2" s="14">
        <f>+'Airtel-input'!I16</f>
        <v>44651</v>
      </c>
      <c r="J2" s="14">
        <f>+'Airtel-input'!J16</f>
        <v>45016</v>
      </c>
      <c r="K2" s="14">
        <f>+'Airtel-input'!K16</f>
        <v>45382</v>
      </c>
      <c r="L2" s="15" t="s">
        <v>61</v>
      </c>
      <c r="M2" s="15" t="s">
        <v>62</v>
      </c>
      <c r="N2" s="16" t="s">
        <v>13</v>
      </c>
      <c r="O2" s="16" t="s">
        <v>63</v>
      </c>
      <c r="P2" s="16" t="s">
        <v>64</v>
      </c>
      <c r="Q2" s="16" t="s">
        <v>65</v>
      </c>
      <c r="R2" s="16" t="s">
        <v>66</v>
      </c>
      <c r="S2" s="16" t="s">
        <v>67</v>
      </c>
    </row>
    <row r="3" spans="1:20" s="2" customFormat="1" x14ac:dyDescent="0.3">
      <c r="A3" t="s">
        <v>2</v>
      </c>
      <c r="B3" s="17">
        <f>+'Airtel-input'!B17</f>
        <v>96100.7</v>
      </c>
      <c r="C3" s="17">
        <f>+'Airtel-input'!C17</f>
        <v>96532.1</v>
      </c>
      <c r="D3" s="17">
        <f>+'Airtel-input'!D17</f>
        <v>95468.3</v>
      </c>
      <c r="E3" s="17">
        <f>+'Airtel-input'!E17</f>
        <v>82638.8</v>
      </c>
      <c r="F3" s="17">
        <f>+'Airtel-input'!F17</f>
        <v>80780.2</v>
      </c>
      <c r="G3" s="17">
        <f>+'Airtel-input'!G17</f>
        <v>87539</v>
      </c>
      <c r="H3" s="17">
        <f>+'Airtel-input'!H17</f>
        <v>100615.8</v>
      </c>
      <c r="I3" s="17">
        <f>+'Airtel-input'!I17</f>
        <v>116546.9</v>
      </c>
      <c r="J3" s="17">
        <f>+'Airtel-input'!J17</f>
        <v>139144.79999999999</v>
      </c>
      <c r="K3" s="17">
        <f>+'Airtel-input'!K17</f>
        <v>149982.39999999999</v>
      </c>
      <c r="L3" s="17">
        <f>IF(N66=TRUE,"",SUM('Airtel-input'!H42:K42))</f>
        <v>162708.1</v>
      </c>
      <c r="M3" s="18"/>
      <c r="N3" s="19" t="s">
        <v>14</v>
      </c>
      <c r="O3" s="20">
        <f>IF(B3=0,"",POWER($K3/B3,1/9)-1)</f>
        <v>5.0701386392173919E-2</v>
      </c>
      <c r="P3" s="20">
        <f>IF(D3=0,"",POWER($K3/D3,1/7)-1)</f>
        <v>6.6659664892353199E-2</v>
      </c>
      <c r="Q3" s="20">
        <f>IF(F3=0,"",POWER($K3/F3,1/5)-1)</f>
        <v>0.13174106627614024</v>
      </c>
      <c r="R3" s="20">
        <f>IF(H3=0,"",POWER($K3/H3, 1/3)-1)</f>
        <v>0.14232944492040445</v>
      </c>
      <c r="S3" s="20">
        <f>IF(N66=TRUE,"",L3/K3-1)</f>
        <v>8.4847955493444704E-2</v>
      </c>
      <c r="T3" s="19"/>
    </row>
    <row r="4" spans="1:20" x14ac:dyDescent="0.3">
      <c r="A4" t="s">
        <v>4</v>
      </c>
      <c r="B4" s="21">
        <f>+'Airtel-input'!B17-'Airtel-input'!B18+'Airtel-input'!B19-SUM('Airtel-input'!B20:B24)</f>
        <v>33602.000000000015</v>
      </c>
      <c r="C4" s="21">
        <f>+'Airtel-input'!C17-'Airtel-input'!C18+'Airtel-input'!C19-SUM('Airtel-input'!C20:C24)</f>
        <v>33984.200000000012</v>
      </c>
      <c r="D4" s="21">
        <f>+'Airtel-input'!D17-'Airtel-input'!D18+'Airtel-input'!D19-SUM('Airtel-input'!D20:D24)</f>
        <v>35329.800000000017</v>
      </c>
      <c r="E4" s="21">
        <f>+'Airtel-input'!E17-'Airtel-input'!E18+'Airtel-input'!E19-SUM('Airtel-input'!E20:E24)</f>
        <v>30079.100000000013</v>
      </c>
      <c r="F4" s="21">
        <f>+'Airtel-input'!F17-'Airtel-input'!F18+'Airtel-input'!F19-SUM('Airtel-input'!F20:F24)</f>
        <v>25763.799999999996</v>
      </c>
      <c r="G4" s="21">
        <f>+'Airtel-input'!G17-'Airtel-input'!G18+'Airtel-input'!G19-SUM('Airtel-input'!G20:G24)</f>
        <v>36609.500000000007</v>
      </c>
      <c r="H4" s="21">
        <f>+'Airtel-input'!H17-'Airtel-input'!H18+'Airtel-input'!H19-SUM('Airtel-input'!H20:H24)</f>
        <v>45278.9</v>
      </c>
      <c r="I4" s="21">
        <f>+'Airtel-input'!I17-'Airtel-input'!I18+'Airtel-input'!I19-SUM('Airtel-input'!I20:I24)</f>
        <v>57533.899999999987</v>
      </c>
      <c r="J4" s="21">
        <f>+'Airtel-input'!J17-'Airtel-input'!J18+'Airtel-input'!J19-SUM('Airtel-input'!J20:J24)</f>
        <v>71273.499999999985</v>
      </c>
      <c r="K4" s="21">
        <f>+'Airtel-input'!K17-'Airtel-input'!K18+'Airtel-input'!K19-SUM('Airtel-input'!K20:K24)</f>
        <v>78291.8</v>
      </c>
      <c r="L4" s="21">
        <f>+IF(N66=TRUE,"",SUM('Airtel-input'!H50:K50))</f>
        <v>85515.199999999983</v>
      </c>
      <c r="M4" s="18"/>
      <c r="N4" s="19" t="s">
        <v>12</v>
      </c>
      <c r="O4" s="20">
        <f>IF(SUM(B3:$K$3)=0,"",SUMPRODUCT(B5:$K$5,B3:$K$3)/SUM(B3:$K$3))</f>
        <v>0.42832250281963241</v>
      </c>
      <c r="P4" s="20">
        <f>IF(SUM(E3:$K$3)=0,"",SUMPRODUCT(E5:$K$5,E3:$K$3)/SUM(E3:$K$3))</f>
        <v>0.45537333282799464</v>
      </c>
      <c r="Q4" s="20">
        <f>IF(SUM(G3:$K$3)=0,"",SUMPRODUCT(G5:$K$5,G3:$K$3)/SUM(G3:$K$3))</f>
        <v>0.4866512896223138</v>
      </c>
      <c r="R4" s="20">
        <f>IF(SUM(I3:$K$3)=0, "", SUMPRODUCT(I5:$K$5,I3:$K$3)/SUM(I3:$K$3))</f>
        <v>0.51050633994134698</v>
      </c>
      <c r="S4" s="22">
        <f>IF(N66=TRUE,"",L5)</f>
        <v>0.52557432604768894</v>
      </c>
      <c r="T4" s="23"/>
    </row>
    <row r="5" spans="1:20" s="2" customFormat="1" x14ac:dyDescent="0.3">
      <c r="A5" s="2" t="s">
        <v>68</v>
      </c>
      <c r="B5" s="24">
        <f t="shared" ref="B5:K5" si="0">IF(B4&gt;0,B4/B3,0)</f>
        <v>0.3496540607924814</v>
      </c>
      <c r="C5" s="24">
        <f t="shared" si="0"/>
        <v>0.35205076860443324</v>
      </c>
      <c r="D5" s="24">
        <f t="shared" si="0"/>
        <v>0.37006838919306217</v>
      </c>
      <c r="E5" s="24">
        <f t="shared" si="0"/>
        <v>0.36398277806550933</v>
      </c>
      <c r="F5" s="24">
        <f t="shared" si="0"/>
        <v>0.31893706626128676</v>
      </c>
      <c r="G5" s="24">
        <f t="shared" si="0"/>
        <v>0.41820788448577212</v>
      </c>
      <c r="H5" s="24">
        <f t="shared" si="0"/>
        <v>0.45001779044643087</v>
      </c>
      <c r="I5" s="24">
        <f t="shared" si="0"/>
        <v>0.49365448587650113</v>
      </c>
      <c r="J5" s="24">
        <f t="shared" si="0"/>
        <v>0.51222539397807165</v>
      </c>
      <c r="K5" s="24">
        <f t="shared" si="0"/>
        <v>0.52200658210563378</v>
      </c>
      <c r="L5" s="24">
        <f>+IF(N66=TRUE,"",IF(L4&gt;0,L4/L3,0))</f>
        <v>0.52557432604768894</v>
      </c>
      <c r="M5" s="18"/>
      <c r="N5" s="19" t="s">
        <v>69</v>
      </c>
      <c r="O5" s="20">
        <f>IF(B13=0,"",POWER($K13/B13,1/9)-1)</f>
        <v>5.4772444565996947E-2</v>
      </c>
      <c r="P5" s="20">
        <f>IF(D13=0,"",POWER($K13/D13,1/7)-1)</f>
        <v>0.10131664186436296</v>
      </c>
      <c r="Q5" s="20">
        <f>IF(F13=0,"",POWER($K13/F13,1/5)-1)</f>
        <v>0.78722178291187528</v>
      </c>
      <c r="R5" s="20">
        <f>IF(H13=0,"",POWER($K13/H13, 1/3)-1)</f>
        <v>-1.7910695621632655</v>
      </c>
      <c r="S5" s="20">
        <f>+IF(N66=TRUE,"",L13/K13-1)</f>
        <v>2.2952859247355031</v>
      </c>
      <c r="T5" s="19"/>
    </row>
    <row r="6" spans="1:20" s="2" customFormat="1" ht="21.6" customHeight="1" x14ac:dyDescent="0.3">
      <c r="A6" t="s">
        <v>5</v>
      </c>
      <c r="B6" s="21">
        <f>+'Airtel-input'!B25</f>
        <v>1242.5999999999999</v>
      </c>
      <c r="C6" s="21">
        <f>+'Airtel-input'!C25</f>
        <v>4858</v>
      </c>
      <c r="D6" s="21">
        <f>+'Airtel-input'!D25</f>
        <v>1713.1</v>
      </c>
      <c r="E6" s="21">
        <f>+'Airtel-input'!E25</f>
        <v>1756.5</v>
      </c>
      <c r="F6" s="21">
        <f>+'Airtel-input'!F25</f>
        <v>4474.1000000000004</v>
      </c>
      <c r="G6" s="21">
        <f>+'Airtel-input'!G25</f>
        <v>-37774.6</v>
      </c>
      <c r="H6" s="21">
        <f>+'Airtel-input'!H25</f>
        <v>-4215</v>
      </c>
      <c r="I6" s="21">
        <f>+'Airtel-input'!I25</f>
        <v>4656.1000000000004</v>
      </c>
      <c r="J6" s="21">
        <f>+'Airtel-input'!J25</f>
        <v>1018.9</v>
      </c>
      <c r="K6" s="21">
        <f>+'Airtel-input'!K25</f>
        <v>-3427.5</v>
      </c>
      <c r="L6" s="21">
        <f>IF(N66=TRUE,"",+SUM('Airtel-input'!H44:K44))</f>
        <v>10851.8</v>
      </c>
      <c r="M6" s="18">
        <f>SUM(B6:K6)</f>
        <v>-25697.799999999996</v>
      </c>
      <c r="N6" s="19" t="s">
        <v>70</v>
      </c>
      <c r="O6" s="25">
        <f>IF(ISERROR(AVERAGEIF(B44:$L44,"&gt;0")),"",AVERAGEIF(B44:$L44,"&gt;0"))</f>
        <v>118.33481194935614</v>
      </c>
      <c r="P6" s="25">
        <f>IF(ISERROR(AVERAGEIF(E44:$L44,"&gt;0")),"",AVERAGEIF(E44:$L44,"&gt;0"))</f>
        <v>166.05250279474939</v>
      </c>
      <c r="Q6" s="25">
        <f>IF(ISERROR(AVERAGEIF(G44:$L44,"&gt;0")),"",AVERAGEIF(G44:$L44,"&gt;0"))</f>
        <v>82.495532643730243</v>
      </c>
      <c r="R6" s="25">
        <f>IF(ISERROR(AVERAGEIF(I44:$L44,"&gt;0")),"",AVERAGEIF(I44:$L44,"&gt;0"))</f>
        <v>82.495532643730243</v>
      </c>
      <c r="S6" s="25">
        <f>IF(N66=TRUE,"",O10)</f>
        <v>38.165937844175581</v>
      </c>
      <c r="T6" s="19"/>
    </row>
    <row r="7" spans="1:20" ht="24.6" customHeight="1" x14ac:dyDescent="0.3">
      <c r="A7" t="s">
        <v>102</v>
      </c>
      <c r="B7" s="21">
        <f t="shared" ref="B7:K7" si="1">+SUM(B4+B6)</f>
        <v>34844.600000000013</v>
      </c>
      <c r="C7" s="21">
        <f t="shared" si="1"/>
        <v>38842.200000000012</v>
      </c>
      <c r="D7" s="21">
        <f t="shared" si="1"/>
        <v>37042.900000000016</v>
      </c>
      <c r="E7" s="21">
        <f t="shared" si="1"/>
        <v>31835.600000000013</v>
      </c>
      <c r="F7" s="21">
        <f t="shared" si="1"/>
        <v>30237.899999999994</v>
      </c>
      <c r="G7" s="21">
        <f t="shared" si="1"/>
        <v>-1165.0999999999913</v>
      </c>
      <c r="H7" s="21">
        <f t="shared" si="1"/>
        <v>41063.9</v>
      </c>
      <c r="I7" s="21">
        <f t="shared" si="1"/>
        <v>62189.999999999985</v>
      </c>
      <c r="J7" s="21">
        <f t="shared" si="1"/>
        <v>72292.39999999998</v>
      </c>
      <c r="K7" s="21">
        <f t="shared" si="1"/>
        <v>74864.3</v>
      </c>
      <c r="L7" s="21">
        <f>++IF(N66=TRUE,"",SUM(L4+L6))</f>
        <v>96366.999999999985</v>
      </c>
      <c r="M7" s="18">
        <f>SUM(B7:K7)</f>
        <v>422048.69999999995</v>
      </c>
      <c r="T7" s="23"/>
    </row>
    <row r="8" spans="1:20" x14ac:dyDescent="0.3">
      <c r="A8" t="s">
        <v>7</v>
      </c>
      <c r="B8" s="21">
        <f>+'Airtel-input'!B27</f>
        <v>4446.5</v>
      </c>
      <c r="C8" s="21">
        <f>+'Airtel-input'!C27</f>
        <v>8546.1</v>
      </c>
      <c r="D8" s="21">
        <f>+'Airtel-input'!D27</f>
        <v>9546.6</v>
      </c>
      <c r="E8" s="21">
        <f>+'Airtel-input'!E27</f>
        <v>9325.5</v>
      </c>
      <c r="F8" s="21">
        <f>+'Airtel-input'!F27</f>
        <v>10622.2</v>
      </c>
      <c r="G8" s="21">
        <f>+'Airtel-input'!G27</f>
        <v>13991.8</v>
      </c>
      <c r="H8" s="21">
        <f>+'Airtel-input'!H27</f>
        <v>15091</v>
      </c>
      <c r="I8" s="21">
        <f>+'Airtel-input'!I27</f>
        <v>16616.2</v>
      </c>
      <c r="J8" s="21">
        <f>+'Airtel-input'!J27</f>
        <v>19299.900000000001</v>
      </c>
      <c r="K8" s="21">
        <f>+'Airtel-input'!K27</f>
        <v>22647.7</v>
      </c>
      <c r="L8" s="21">
        <f>+IF(N66=TRUE,"",SUM('Airtel-input'!H46:K46))</f>
        <v>21454.9</v>
      </c>
      <c r="M8" s="18">
        <f>SUM(B8:K8)</f>
        <v>130133.49999999999</v>
      </c>
      <c r="P8" s="26"/>
      <c r="Q8" s="26"/>
      <c r="R8" s="26"/>
      <c r="S8" s="26"/>
      <c r="T8" s="23"/>
    </row>
    <row r="9" spans="1:20" ht="15" customHeight="1" x14ac:dyDescent="0.3">
      <c r="A9" t="s">
        <v>6</v>
      </c>
      <c r="B9" s="21">
        <f>+'Airtel-input'!B26</f>
        <v>19858.3</v>
      </c>
      <c r="C9" s="21">
        <f>+'Airtel-input'!C26</f>
        <v>17449.8</v>
      </c>
      <c r="D9" s="21">
        <f>+'Airtel-input'!D26</f>
        <v>19773</v>
      </c>
      <c r="E9" s="21">
        <f>+'Airtel-input'!E26</f>
        <v>19243.099999999999</v>
      </c>
      <c r="F9" s="21">
        <f>+'Airtel-input'!F26</f>
        <v>21347.5</v>
      </c>
      <c r="G9" s="21">
        <f>+'Airtel-input'!G26</f>
        <v>27689.599999999999</v>
      </c>
      <c r="H9" s="21">
        <f>+'Airtel-input'!H26</f>
        <v>29404.400000000001</v>
      </c>
      <c r="I9" s="21">
        <f>+'Airtel-input'!I26</f>
        <v>33090.699999999997</v>
      </c>
      <c r="J9" s="21">
        <f>+'Airtel-input'!J26</f>
        <v>36431.800000000003</v>
      </c>
      <c r="K9" s="21">
        <f>+'Airtel-input'!K26</f>
        <v>39537.599999999999</v>
      </c>
      <c r="L9" s="21">
        <f>IF(N66=TRUE,"",+SUM('Airtel-input'!H45:K45))</f>
        <v>43319.5</v>
      </c>
      <c r="M9" s="18">
        <f>SUM(B9:K9)</f>
        <v>263825.79999999993</v>
      </c>
      <c r="N9" s="21" t="s">
        <v>71</v>
      </c>
      <c r="O9" s="17">
        <f>+'Airtel-input'!B8</f>
        <v>1570.2</v>
      </c>
      <c r="P9" s="26"/>
      <c r="Q9" s="26"/>
      <c r="R9" s="26"/>
      <c r="S9" s="26"/>
      <c r="T9" s="23"/>
    </row>
    <row r="10" spans="1:20" x14ac:dyDescent="0.3">
      <c r="A10" t="s">
        <v>72</v>
      </c>
      <c r="B10" s="21">
        <f>+'Airtel-input'!B28</f>
        <v>10539.8</v>
      </c>
      <c r="C10" s="21">
        <f>+'Airtel-input'!C28</f>
        <v>12846.3</v>
      </c>
      <c r="D10" s="21">
        <f>+'Airtel-input'!D28</f>
        <v>7723.3</v>
      </c>
      <c r="E10" s="21">
        <f>+'Airtel-input'!E28</f>
        <v>3267</v>
      </c>
      <c r="F10" s="21">
        <f>+'Airtel-input'!F28</f>
        <v>-1731.8</v>
      </c>
      <c r="G10" s="21">
        <f>+'Airtel-input'!G28</f>
        <v>-42846.5</v>
      </c>
      <c r="H10" s="21">
        <f>+'Airtel-input'!H28</f>
        <v>-3431.5</v>
      </c>
      <c r="I10" s="21">
        <f>+'Airtel-input'!I28</f>
        <v>12483.1</v>
      </c>
      <c r="J10" s="21">
        <f>+'Airtel-input'!J28</f>
        <v>16560.7</v>
      </c>
      <c r="K10" s="21">
        <f>+'Airtel-input'!K28</f>
        <v>12679</v>
      </c>
      <c r="L10" s="27">
        <f>IF(N66=TRUE,"",+SUM('Airtel-input'!H47:K47))</f>
        <v>31592.6</v>
      </c>
      <c r="M10" s="17"/>
      <c r="N10" s="2" t="s">
        <v>73</v>
      </c>
      <c r="O10" s="28">
        <f>IF(N66=TRUE,O15/K13,O15/L13)</f>
        <v>38.165937844175581</v>
      </c>
      <c r="P10" s="26"/>
      <c r="Q10" s="26"/>
      <c r="R10" s="26"/>
      <c r="S10" s="26"/>
      <c r="T10" s="23"/>
    </row>
    <row r="11" spans="1:20" ht="14.4" customHeight="1" x14ac:dyDescent="0.3">
      <c r="A11" t="s">
        <v>9</v>
      </c>
      <c r="B11" s="21">
        <f>+'Airtel-input'!B29</f>
        <v>5486.7</v>
      </c>
      <c r="C11" s="21">
        <f>+'Airtel-input'!C29</f>
        <v>5953.3</v>
      </c>
      <c r="D11" s="21">
        <f>+'Airtel-input'!D29</f>
        <v>3481.9</v>
      </c>
      <c r="E11" s="21">
        <f>+'Airtel-input'!E29</f>
        <v>1083.5</v>
      </c>
      <c r="F11" s="21">
        <f>+'Airtel-input'!F29</f>
        <v>-3419.3</v>
      </c>
      <c r="G11" s="21">
        <f>+'Airtel-input'!G29</f>
        <v>-12182.3</v>
      </c>
      <c r="H11" s="21">
        <f>+'Airtel-input'!H29</f>
        <v>8932.5</v>
      </c>
      <c r="I11" s="21">
        <f>+'Airtel-input'!I29</f>
        <v>4177.8999999999996</v>
      </c>
      <c r="J11" s="21">
        <f>+'Airtel-input'!J29</f>
        <v>4273.3</v>
      </c>
      <c r="K11" s="21">
        <f>+'Airtel-input'!K29</f>
        <v>4121</v>
      </c>
      <c r="L11" s="21">
        <f>IF(N66=TRUE,"",+SUM('Airtel-input'!H48:K48))</f>
        <v>4518.8999999999996</v>
      </c>
      <c r="M11" s="17"/>
      <c r="P11" s="26"/>
      <c r="Q11" s="26"/>
      <c r="R11" s="26"/>
      <c r="S11" s="26"/>
      <c r="T11" s="23"/>
    </row>
    <row r="12" spans="1:20" x14ac:dyDescent="0.3">
      <c r="A12" t="s">
        <v>74</v>
      </c>
      <c r="B12" s="20">
        <f t="shared" ref="B12:K12" si="2">B11/B10</f>
        <v>0.52056965027799396</v>
      </c>
      <c r="C12" s="20">
        <f t="shared" si="2"/>
        <v>0.46342526641912463</v>
      </c>
      <c r="D12" s="20">
        <f t="shared" si="2"/>
        <v>0.45083060349850451</v>
      </c>
      <c r="E12" s="20">
        <f t="shared" si="2"/>
        <v>0.33164983164983164</v>
      </c>
      <c r="F12" s="20">
        <f t="shared" si="2"/>
        <v>1.9744196789467607</v>
      </c>
      <c r="G12" s="20">
        <f t="shared" si="2"/>
        <v>0.28432427386134224</v>
      </c>
      <c r="H12" s="20">
        <f t="shared" si="2"/>
        <v>-2.6030890281218126</v>
      </c>
      <c r="I12" s="20">
        <f t="shared" si="2"/>
        <v>0.33468449343512424</v>
      </c>
      <c r="J12" s="20">
        <f t="shared" si="2"/>
        <v>0.25803860947906793</v>
      </c>
      <c r="K12" s="20">
        <f t="shared" si="2"/>
        <v>0.32502563293635145</v>
      </c>
      <c r="L12" s="20">
        <f>+IF(N66=TRUE,"",L11/L10)</f>
        <v>0.14303666048378416</v>
      </c>
      <c r="M12" s="17"/>
      <c r="N12" s="29" t="s">
        <v>75</v>
      </c>
      <c r="O12" s="30">
        <f>+'Airtel-input'!B9/SUM('Airtel-input'!K57:K58)</f>
        <v>11.449902339463634</v>
      </c>
      <c r="P12" s="26"/>
      <c r="Q12" s="26"/>
      <c r="R12" s="26"/>
      <c r="S12" s="26"/>
      <c r="T12" s="23"/>
    </row>
    <row r="13" spans="1:20" x14ac:dyDescent="0.3">
      <c r="A13" t="s">
        <v>76</v>
      </c>
      <c r="B13" s="21">
        <f>+'Airtel-input'!B30</f>
        <v>4620.8</v>
      </c>
      <c r="C13" s="21">
        <f>+'Airtel-input'!C30</f>
        <v>6076.7</v>
      </c>
      <c r="D13" s="21">
        <f>+'Airtel-input'!D30</f>
        <v>3799.8</v>
      </c>
      <c r="E13" s="21">
        <f>+'Airtel-input'!E30</f>
        <v>1099</v>
      </c>
      <c r="F13" s="21">
        <f>+'Airtel-input'!F30</f>
        <v>409.5</v>
      </c>
      <c r="G13" s="21">
        <f>+'Airtel-input'!G30</f>
        <v>-32183.200000000001</v>
      </c>
      <c r="H13" s="21">
        <f>+'Airtel-input'!H30</f>
        <v>-15083.5</v>
      </c>
      <c r="I13" s="21">
        <f>+'Airtel-input'!I30</f>
        <v>4254.8999999999996</v>
      </c>
      <c r="J13" s="21">
        <f>+'Airtel-input'!J30</f>
        <v>8345.9</v>
      </c>
      <c r="K13" s="21">
        <f>+'Airtel-input'!K30</f>
        <v>7467</v>
      </c>
      <c r="L13" s="21">
        <f>IF(N66=TRUE,"",+SUM('Airtel-input'!H49:K49))</f>
        <v>24605.9</v>
      </c>
      <c r="M13" s="18">
        <f>SUM(B13:K13)</f>
        <v>-11193.099999999999</v>
      </c>
      <c r="N13" s="21" t="s">
        <v>77</v>
      </c>
      <c r="O13" s="30">
        <f>O10*O12</f>
        <v>436.9962610098496</v>
      </c>
      <c r="P13" s="26"/>
      <c r="Q13" s="26"/>
      <c r="R13" s="26"/>
      <c r="S13" s="26"/>
      <c r="T13" s="23"/>
    </row>
    <row r="14" spans="1:20" x14ac:dyDescent="0.3">
      <c r="A14" s="2" t="s">
        <v>78</v>
      </c>
      <c r="B14" s="5">
        <f t="shared" ref="B14:K14" si="3">B13/B3</f>
        <v>4.8082896378486319E-2</v>
      </c>
      <c r="C14" s="24">
        <f t="shared" si="3"/>
        <v>6.2950044596564239E-2</v>
      </c>
      <c r="D14" s="24">
        <f t="shared" si="3"/>
        <v>3.9801693336950592E-2</v>
      </c>
      <c r="E14" s="24">
        <f t="shared" si="3"/>
        <v>1.3298837834044057E-2</v>
      </c>
      <c r="F14" s="24">
        <f t="shared" si="3"/>
        <v>5.0693115392138176E-3</v>
      </c>
      <c r="G14" s="24">
        <f t="shared" si="3"/>
        <v>-0.36764413575663418</v>
      </c>
      <c r="H14" s="24">
        <f t="shared" si="3"/>
        <v>-0.1499118428715967</v>
      </c>
      <c r="I14" s="24">
        <f t="shared" si="3"/>
        <v>3.6508049549151454E-2</v>
      </c>
      <c r="J14" s="24">
        <f t="shared" si="3"/>
        <v>5.9979963318787341E-2</v>
      </c>
      <c r="K14" s="24">
        <f t="shared" si="3"/>
        <v>4.978584153874055E-2</v>
      </c>
      <c r="L14" s="24">
        <f>+IF(N66=TRUE,"",L13/L3)</f>
        <v>0.15122725912231783</v>
      </c>
      <c r="M14" s="31"/>
      <c r="N14" t="s">
        <v>79</v>
      </c>
      <c r="O14" s="32">
        <f>'Airtel-input'!K31/'Airtel-input'!B9</f>
        <v>4.9009950673898003E-3</v>
      </c>
      <c r="P14" s="26"/>
      <c r="Q14" s="26"/>
      <c r="R14" s="26"/>
      <c r="S14" s="26"/>
      <c r="T14" s="23"/>
    </row>
    <row r="15" spans="1:20" x14ac:dyDescent="0.3">
      <c r="A15" s="2" t="s">
        <v>80</v>
      </c>
      <c r="B15" s="18">
        <f>+'Airtel-input'!B82</f>
        <v>28059</v>
      </c>
      <c r="C15" s="18">
        <f>+'Airtel-input'!C82</f>
        <v>27942.3</v>
      </c>
      <c r="D15" s="18">
        <f>+'Airtel-input'!D82</f>
        <v>28279.9</v>
      </c>
      <c r="E15" s="18">
        <f>+'Airtel-input'!E82</f>
        <v>29853.8</v>
      </c>
      <c r="F15" s="18">
        <f>+'Airtel-input'!F82</f>
        <v>20070.2</v>
      </c>
      <c r="G15" s="18">
        <f>+'Airtel-input'!G82</f>
        <v>18128.7</v>
      </c>
      <c r="H15" s="18">
        <f>+'Airtel-input'!H82</f>
        <v>48205</v>
      </c>
      <c r="I15" s="18">
        <f>+'Airtel-input'!I82</f>
        <v>55016.6</v>
      </c>
      <c r="J15" s="18">
        <f>+'Airtel-input'!J82</f>
        <v>65324.6</v>
      </c>
      <c r="K15" s="18">
        <f>+'Airtel-input'!K82</f>
        <v>78898.2</v>
      </c>
      <c r="L15" s="33" t="s">
        <v>81</v>
      </c>
      <c r="M15" s="18">
        <f>SUM(B15:K15)</f>
        <v>399778.30000000005</v>
      </c>
      <c r="N15" t="s">
        <v>82</v>
      </c>
      <c r="O15" s="23">
        <f>+'Airtel-input'!B9</f>
        <v>939107.25</v>
      </c>
      <c r="P15" s="26"/>
      <c r="Q15" s="26"/>
      <c r="R15" s="26"/>
      <c r="S15" s="26"/>
      <c r="T15" s="23"/>
    </row>
    <row r="16" spans="1:20" x14ac:dyDescent="0.3">
      <c r="A16" s="2" t="s">
        <v>83</v>
      </c>
      <c r="B16" s="18"/>
      <c r="C16" s="18">
        <f>+'Airtel-input'!C62+'Airtel-input'!C63-'Airtel-input'!B62-'Airtel-input'!B63+'Airtel-input'!C26</f>
        <v>53751.199999999983</v>
      </c>
      <c r="D16" s="18">
        <f>+'Airtel-input'!D62+'Airtel-input'!D63-'Airtel-input'!C62-'Airtel-input'!C63+'Airtel-input'!D26</f>
        <v>30851.800000000017</v>
      </c>
      <c r="E16" s="18">
        <f>+'Airtel-input'!E62+'Airtel-input'!E63-'Airtel-input'!D62-'Airtel-input'!D63+'Airtel-input'!E26</f>
        <v>27121.1</v>
      </c>
      <c r="F16" s="18">
        <f>+'Airtel-input'!F62+'Airtel-input'!F63-'Airtel-input'!E62-'Airtel-input'!E63+'Airtel-input'!F26</f>
        <v>34861.60000000002</v>
      </c>
      <c r="G16" s="18">
        <f>+'Airtel-input'!G62+'Airtel-input'!G63-'Airtel-input'!F62-'Airtel-input'!F63+'Airtel-input'!G26</f>
        <v>50761.699999999983</v>
      </c>
      <c r="H16" s="18">
        <f>+'Airtel-input'!H62+'Airtel-input'!H63-'Airtel-input'!G62-'Airtel-input'!G63+'Airtel-input'!H26</f>
        <v>25072.700000000008</v>
      </c>
      <c r="I16" s="18">
        <f>+'Airtel-input'!I62+'Airtel-input'!I63-'Airtel-input'!H62-'Airtel-input'!H63+'Airtel-input'!I26</f>
        <v>53922.599999999991</v>
      </c>
      <c r="J16" s="18">
        <f>+'Airtel-input'!J62+'Airtel-input'!J63-'Airtel-input'!I62-'Airtel-input'!I63+'Airtel-input'!J26</f>
        <v>113213.00000000003</v>
      </c>
      <c r="K16" s="18">
        <f>+'Airtel-input'!K62+'Airtel-input'!K63-'Airtel-input'!J62-'Airtel-input'!J63+'Airtel-input'!K26</f>
        <v>32925.599999999962</v>
      </c>
      <c r="L16" s="33" t="s">
        <v>84</v>
      </c>
      <c r="M16" s="17">
        <f>SUM(B16:K16)</f>
        <v>422481.30000000005</v>
      </c>
      <c r="P16" s="26"/>
      <c r="Q16" s="26"/>
      <c r="R16" s="26"/>
      <c r="S16" s="26"/>
      <c r="T16" s="23"/>
    </row>
    <row r="17" spans="1:29" x14ac:dyDescent="0.3">
      <c r="A17" s="2" t="s">
        <v>85</v>
      </c>
      <c r="B17" s="18"/>
      <c r="C17" s="34">
        <f t="shared" ref="C17:K17" si="4">+C15-C16</f>
        <v>-25808.899999999983</v>
      </c>
      <c r="D17" s="34">
        <f t="shared" si="4"/>
        <v>-2571.900000000016</v>
      </c>
      <c r="E17" s="34">
        <f t="shared" si="4"/>
        <v>2732.7000000000007</v>
      </c>
      <c r="F17" s="34">
        <f t="shared" si="4"/>
        <v>-14791.40000000002</v>
      </c>
      <c r="G17" s="34">
        <f t="shared" si="4"/>
        <v>-32632.999999999982</v>
      </c>
      <c r="H17" s="34">
        <f t="shared" si="4"/>
        <v>23132.299999999992</v>
      </c>
      <c r="I17" s="34">
        <f t="shared" si="4"/>
        <v>1094.0000000000073</v>
      </c>
      <c r="J17" s="34">
        <f t="shared" si="4"/>
        <v>-47888.400000000031</v>
      </c>
      <c r="K17" s="34">
        <f t="shared" si="4"/>
        <v>45972.600000000035</v>
      </c>
      <c r="L17" s="35" t="s">
        <v>85</v>
      </c>
      <c r="M17" s="34">
        <f>+M15-M16</f>
        <v>-22703</v>
      </c>
      <c r="N17" s="21">
        <f>SUM(B43:K43)</f>
        <v>-26449.410000000003</v>
      </c>
      <c r="O17" t="s">
        <v>86</v>
      </c>
      <c r="P17" s="26"/>
      <c r="Q17" s="26"/>
      <c r="R17" s="26"/>
      <c r="S17" s="26"/>
      <c r="T17" s="23"/>
    </row>
    <row r="18" spans="1:29" s="24" customFormat="1" x14ac:dyDescent="0.3">
      <c r="A18" s="2" t="s">
        <v>87</v>
      </c>
      <c r="B18" s="36">
        <f>+'Airtel-input'!B59</f>
        <v>83415.100000000006</v>
      </c>
      <c r="C18" s="18">
        <f>+'Airtel-input'!C59</f>
        <v>100646.5</v>
      </c>
      <c r="D18" s="36">
        <f>+'Airtel-input'!D59</f>
        <v>107287.6</v>
      </c>
      <c r="E18" s="18">
        <f>+'Airtel-input'!E59</f>
        <v>111333.5</v>
      </c>
      <c r="F18" s="36">
        <f>+'Airtel-input'!F59</f>
        <v>125428.3</v>
      </c>
      <c r="G18" s="18">
        <f>+'Airtel-input'!G59</f>
        <v>148228.1</v>
      </c>
      <c r="H18" s="36">
        <f>+'Airtel-input'!H59</f>
        <v>162785.20000000001</v>
      </c>
      <c r="I18" s="18">
        <f>+'Airtel-input'!I59</f>
        <v>169677.9</v>
      </c>
      <c r="J18" s="36">
        <f>+'Airtel-input'!J59</f>
        <v>226020.3</v>
      </c>
      <c r="K18" s="18">
        <f>+'Airtel-input'!K59</f>
        <v>215592.3</v>
      </c>
      <c r="L18" s="37" t="s">
        <v>88</v>
      </c>
      <c r="M18" s="34">
        <f>+M17-M8</f>
        <v>-152836.5</v>
      </c>
      <c r="N18" s="21">
        <f>L45-IF(N21&gt;0,N21*'Airtel-input'!B6,B45)</f>
        <v>744242.86499999999</v>
      </c>
      <c r="O18" t="s">
        <v>89</v>
      </c>
      <c r="P18" s="26"/>
      <c r="Q18" s="26"/>
      <c r="R18" s="26"/>
      <c r="S18" s="26"/>
    </row>
    <row r="19" spans="1:29" x14ac:dyDescent="0.3">
      <c r="A19" t="s">
        <v>90</v>
      </c>
      <c r="B19" s="31">
        <f>+'Airtel-input'!B57</f>
        <v>1998.7</v>
      </c>
      <c r="C19" s="31">
        <f>+'Airtel-input'!C57</f>
        <v>1998.7</v>
      </c>
      <c r="D19" s="31">
        <f>+'Airtel-input'!D57</f>
        <v>1998.7</v>
      </c>
      <c r="E19" s="31">
        <f>+'Airtel-input'!E57</f>
        <v>1998.7</v>
      </c>
      <c r="F19" s="31">
        <f>+'Airtel-input'!F57</f>
        <v>1998.7</v>
      </c>
      <c r="G19" s="31">
        <f>+'Airtel-input'!G57</f>
        <v>2727.8</v>
      </c>
      <c r="H19" s="31">
        <f>+'Airtel-input'!H57</f>
        <v>2746</v>
      </c>
      <c r="I19" s="31">
        <f>+'Airtel-input'!I57</f>
        <v>2795</v>
      </c>
      <c r="J19" s="31">
        <f>+'Airtel-input'!J57</f>
        <v>2836.6</v>
      </c>
      <c r="K19" s="31">
        <f>+'Airtel-input'!K57</f>
        <v>2876.6</v>
      </c>
      <c r="L19" s="38" t="s">
        <v>91</v>
      </c>
      <c r="M19" s="39">
        <f>+SUM(B41:K41)</f>
        <v>15256.310000000001</v>
      </c>
      <c r="N19" s="40">
        <f>N18/N17</f>
        <v>-28.138354125857624</v>
      </c>
      <c r="O19" s="2" t="s">
        <v>92</v>
      </c>
      <c r="P19" s="23"/>
      <c r="Q19" s="2"/>
      <c r="R19" s="2"/>
      <c r="S19" s="2"/>
      <c r="T19" s="23"/>
    </row>
    <row r="20" spans="1:29" ht="15" thickBot="1" x14ac:dyDescent="0.35">
      <c r="A20" t="s">
        <v>93</v>
      </c>
      <c r="B20" s="17">
        <f>+'Airtel-input'!B31</f>
        <v>1539</v>
      </c>
      <c r="C20" s="17">
        <f>+'Airtel-input'!C31</f>
        <v>543.65</v>
      </c>
      <c r="D20" s="17">
        <f>+'Airtel-input'!D31</f>
        <v>399.74</v>
      </c>
      <c r="E20" s="17">
        <f>+'Airtel-input'!E31</f>
        <v>2134.61</v>
      </c>
      <c r="F20" s="17">
        <f>+'Airtel-input'!F31</f>
        <v>999.35</v>
      </c>
      <c r="G20" s="17">
        <f>+'Airtel-input'!G31</f>
        <v>1091.1199999999999</v>
      </c>
      <c r="H20" s="17">
        <f>+'Airtel-input'!H31</f>
        <v>0</v>
      </c>
      <c r="I20" s="17">
        <f>+'Airtel-input'!I31</f>
        <v>1677</v>
      </c>
      <c r="J20" s="17">
        <f>+'Airtel-input'!J31</f>
        <v>2269.2800000000002</v>
      </c>
      <c r="K20" s="17">
        <f>+'Airtel-input'!K31</f>
        <v>4602.5600000000004</v>
      </c>
      <c r="L20" s="38" t="s">
        <v>94</v>
      </c>
      <c r="M20" s="39">
        <f>+K18-B18</f>
        <v>132177.19999999998</v>
      </c>
      <c r="P20" s="19"/>
      <c r="Q20" s="2"/>
      <c r="R20" s="2"/>
      <c r="S20" s="2"/>
      <c r="T20" s="19"/>
    </row>
    <row r="21" spans="1:29" s="2" customFormat="1" ht="15" thickBot="1" x14ac:dyDescent="0.35">
      <c r="A21" t="s">
        <v>95</v>
      </c>
      <c r="B21" s="21">
        <f>+'Airtel-input'!B64+'Airtel-input'!B69</f>
        <v>12835.1</v>
      </c>
      <c r="C21" s="21">
        <f>+'Airtel-input'!C64+'Airtel-input'!C69</f>
        <v>17075.7</v>
      </c>
      <c r="D21" s="21">
        <f>+'Airtel-input'!D64+'Airtel-input'!D69</f>
        <v>19437</v>
      </c>
      <c r="E21" s="21">
        <f>+'Airtel-input'!E64+'Airtel-input'!E69</f>
        <v>22829.200000000001</v>
      </c>
      <c r="F21" s="21">
        <f>+'Airtel-input'!F64+'Airtel-input'!F69</f>
        <v>23775</v>
      </c>
      <c r="G21" s="21">
        <f>+'Airtel-input'!G64+'Airtel-input'!G69</f>
        <v>41369.199999999997</v>
      </c>
      <c r="H21" s="21">
        <f>+'Airtel-input'!H64+'Airtel-input'!H69</f>
        <v>41016.5</v>
      </c>
      <c r="I21" s="21">
        <f>+'Airtel-input'!I64+'Airtel-input'!I69</f>
        <v>42843.399999999994</v>
      </c>
      <c r="J21" s="21">
        <f>+'Airtel-input'!J64+'Airtel-input'!J69</f>
        <v>46372.5</v>
      </c>
      <c r="K21" s="21">
        <f>+'Airtel-input'!K64+'Airtel-input'!K69</f>
        <v>47942.2</v>
      </c>
      <c r="L21" s="41" t="s">
        <v>96</v>
      </c>
      <c r="M21" s="34">
        <f>+K21</f>
        <v>47942.2</v>
      </c>
      <c r="N21" s="42">
        <v>0</v>
      </c>
      <c r="O21" s="2" t="s">
        <v>97</v>
      </c>
      <c r="P21" s="19"/>
      <c r="Q21" s="23"/>
      <c r="R21" s="20"/>
      <c r="S21" s="20"/>
      <c r="T21" s="19"/>
    </row>
    <row r="22" spans="1:29" s="2" customFormat="1" x14ac:dyDescent="0.3">
      <c r="A22" s="139" t="s">
        <v>267</v>
      </c>
      <c r="B22" s="140">
        <f>B18-B60</f>
        <v>81332</v>
      </c>
      <c r="C22" s="140">
        <f t="shared" ref="C22:K22" si="5">C18-C60</f>
        <v>95547.8</v>
      </c>
      <c r="D22" s="140">
        <f t="shared" si="5"/>
        <v>102189.3</v>
      </c>
      <c r="E22" s="140">
        <f t="shared" si="5"/>
        <v>104662.9</v>
      </c>
      <c r="F22" s="140">
        <f t="shared" si="5"/>
        <v>117364.3</v>
      </c>
      <c r="G22" s="140">
        <f t="shared" si="5"/>
        <v>132335.4</v>
      </c>
      <c r="H22" s="140">
        <f t="shared" si="5"/>
        <v>149319.1</v>
      </c>
      <c r="I22" s="140">
        <f t="shared" si="5"/>
        <v>156183.6</v>
      </c>
      <c r="J22" s="140">
        <f t="shared" si="5"/>
        <v>212601.69999999998</v>
      </c>
      <c r="K22" s="140">
        <f t="shared" si="5"/>
        <v>199252.4</v>
      </c>
      <c r="L22" s="2" t="s">
        <v>98</v>
      </c>
      <c r="M22" s="5">
        <f>+M17/M15</f>
        <v>-5.6788975289554226E-2</v>
      </c>
      <c r="P22" s="19"/>
      <c r="Q22" s="23"/>
      <c r="R22" s="20"/>
      <c r="S22" s="20"/>
      <c r="T22" s="19"/>
    </row>
    <row r="23" spans="1:29" s="2" customFormat="1" x14ac:dyDescent="0.3">
      <c r="A23" s="2" t="s">
        <v>99</v>
      </c>
      <c r="D23" s="43"/>
      <c r="E23" s="43">
        <f t="shared" ref="E23:K23" si="6">AVERAGE(C33:E33)*AVERAGE(C14:E14)*(1-AVERAGE(C42:E42))-AVERAGE(C66:E66)</f>
        <v>-9.8890955769464856E-2</v>
      </c>
      <c r="F23" s="43">
        <f t="shared" si="6"/>
        <v>-0.11120652775538309</v>
      </c>
      <c r="G23" s="43">
        <f t="shared" si="6"/>
        <v>-8.7697270867747076E-2</v>
      </c>
      <c r="H23" s="43">
        <f t="shared" si="6"/>
        <v>-0.13383351852694059</v>
      </c>
      <c r="I23" s="43">
        <f t="shared" si="6"/>
        <v>-0.19280583750207736</v>
      </c>
      <c r="J23" s="43">
        <f t="shared" si="6"/>
        <v>-0.13964698033405512</v>
      </c>
      <c r="K23" s="43">
        <f t="shared" si="6"/>
        <v>-0.11801020428796283</v>
      </c>
      <c r="L23" s="38" t="s">
        <v>100</v>
      </c>
      <c r="M23" s="44">
        <f>+M52</f>
        <v>156109.33199999999</v>
      </c>
      <c r="Q23" s="19"/>
      <c r="R23" s="23"/>
      <c r="S23" s="23"/>
      <c r="T23" s="19"/>
    </row>
    <row r="24" spans="1:29" s="2" customFormat="1" x14ac:dyDescent="0.3">
      <c r="L24" s="15" t="s">
        <v>136</v>
      </c>
      <c r="P24"/>
      <c r="Q24" s="19"/>
      <c r="R24" s="19"/>
      <c r="S24" s="19"/>
      <c r="T24" s="19"/>
    </row>
    <row r="25" spans="1:29" s="2" customFormat="1" x14ac:dyDescent="0.3">
      <c r="A25" t="s">
        <v>101</v>
      </c>
      <c r="B25" s="17">
        <f>+'Airtel-input'!B67</f>
        <v>5207.2</v>
      </c>
      <c r="C25" s="17">
        <f>+'Airtel-input'!C67</f>
        <v>5503.9</v>
      </c>
      <c r="D25" s="17">
        <f>+'Airtel-input'!D67</f>
        <v>4740.2</v>
      </c>
      <c r="E25" s="17">
        <f>+'Airtel-input'!E67</f>
        <v>5883</v>
      </c>
      <c r="F25" s="17">
        <f>+'Airtel-input'!F67</f>
        <v>4300.6000000000004</v>
      </c>
      <c r="G25" s="17">
        <f>+'Airtel-input'!G67</f>
        <v>4605.8</v>
      </c>
      <c r="H25" s="17">
        <f>+'Airtel-input'!H67</f>
        <v>3637.7</v>
      </c>
      <c r="I25" s="17">
        <f>+'Airtel-input'!I67</f>
        <v>4056.2</v>
      </c>
      <c r="J25" s="17">
        <f>+'Airtel-input'!J67</f>
        <v>3981.5</v>
      </c>
      <c r="K25" s="17">
        <f>+'Airtel-input'!K67</f>
        <v>4727.7</v>
      </c>
      <c r="L25" s="34">
        <f>+B25-K25</f>
        <v>479.5</v>
      </c>
      <c r="P25"/>
      <c r="Q25" s="19"/>
      <c r="R25" s="19"/>
      <c r="S25" s="19"/>
      <c r="T25" s="19"/>
    </row>
    <row r="26" spans="1:29" s="2" customFormat="1" x14ac:dyDescent="0.3">
      <c r="A26" t="s">
        <v>34</v>
      </c>
      <c r="B26" s="17">
        <f>+'Airtel-input'!B68</f>
        <v>133.9</v>
      </c>
      <c r="C26" s="17">
        <f>+'Airtel-input'!C68</f>
        <v>169.2</v>
      </c>
      <c r="D26" s="17">
        <f>+'Airtel-input'!D68</f>
        <v>48.8</v>
      </c>
      <c r="E26" s="17">
        <f>+'Airtel-input'!E68</f>
        <v>69.3</v>
      </c>
      <c r="F26" s="17">
        <f>+'Airtel-input'!F68</f>
        <v>88.4</v>
      </c>
      <c r="G26" s="17">
        <f>+'Airtel-input'!G68</f>
        <v>156.9</v>
      </c>
      <c r="H26" s="17">
        <f>+'Airtel-input'!H68</f>
        <v>266</v>
      </c>
      <c r="I26" s="17">
        <f>+'Airtel-input'!I68</f>
        <v>375</v>
      </c>
      <c r="J26" s="17">
        <f>+'Airtel-input'!J68</f>
        <v>257.60000000000002</v>
      </c>
      <c r="K26" s="17">
        <f>+'Airtel-input'!K68</f>
        <v>363.9</v>
      </c>
      <c r="U26" s="34">
        <f>+B26-K26</f>
        <v>-229.99999999999997</v>
      </c>
      <c r="Y26"/>
      <c r="Z26" s="19"/>
      <c r="AA26" s="19"/>
      <c r="AB26" s="19"/>
      <c r="AC26" s="19"/>
    </row>
    <row r="27" spans="1:29" s="2" customFormat="1" x14ac:dyDescent="0.3">
      <c r="A27"/>
      <c r="B27"/>
      <c r="C27"/>
      <c r="D27"/>
      <c r="E27"/>
      <c r="F27"/>
      <c r="G27"/>
      <c r="H27"/>
      <c r="I27"/>
      <c r="J27"/>
      <c r="K27"/>
      <c r="P27"/>
      <c r="Q27" s="19"/>
      <c r="R27" s="19"/>
      <c r="S27" s="19"/>
      <c r="T27" s="19"/>
      <c r="U27" s="19"/>
      <c r="V27" s="19"/>
      <c r="W27" s="19"/>
      <c r="X27" s="19"/>
      <c r="Y27" s="19"/>
    </row>
    <row r="28" spans="1:29" s="2" customFormat="1" x14ac:dyDescent="0.3">
      <c r="A28" t="s">
        <v>103</v>
      </c>
      <c r="B28" s="20"/>
      <c r="C28" s="20">
        <f t="shared" ref="C28:K28" si="7">C10/(AVERAGE(B38:C38))</f>
        <v>8.6632089270914175E-2</v>
      </c>
      <c r="D28" s="20">
        <f t="shared" si="7"/>
        <v>4.4066677716666773E-2</v>
      </c>
      <c r="E28" s="20">
        <f t="shared" si="7"/>
        <v>1.7880036285473085E-2</v>
      </c>
      <c r="F28" s="20">
        <f t="shared" si="7"/>
        <v>-8.9260702535023523E-3</v>
      </c>
      <c r="G28" s="20">
        <f t="shared" si="7"/>
        <v>-0.19924573400265527</v>
      </c>
      <c r="H28" s="20">
        <f t="shared" si="7"/>
        <v>-1.515897486190048E-2</v>
      </c>
      <c r="I28" s="20">
        <f t="shared" si="7"/>
        <v>5.339645211371561E-2</v>
      </c>
      <c r="J28" s="20">
        <f t="shared" si="7"/>
        <v>6.351458194425029E-2</v>
      </c>
      <c r="K28" s="20">
        <f t="shared" si="7"/>
        <v>4.3668220030105211E-2</v>
      </c>
      <c r="P28"/>
      <c r="Q28" s="19"/>
      <c r="R28" s="19"/>
      <c r="S28" s="19"/>
      <c r="T28" s="19"/>
      <c r="U28" s="19"/>
      <c r="V28" s="19"/>
      <c r="W28" s="19"/>
      <c r="X28" s="19"/>
      <c r="Y28" s="19"/>
    </row>
    <row r="29" spans="1:29" s="2" customFormat="1" x14ac:dyDescent="0.3">
      <c r="A29" t="s">
        <v>104</v>
      </c>
      <c r="B29" s="20"/>
      <c r="C29" s="20">
        <f t="shared" ref="C29:K29" si="8">C13/AVERAGE(B49:C49)</f>
        <v>0.11406684230236057</v>
      </c>
      <c r="D29" s="20">
        <f t="shared" si="8"/>
        <v>5.6618111597191594E-2</v>
      </c>
      <c r="E29" s="20">
        <f t="shared" si="8"/>
        <v>1.6044884798749111E-2</v>
      </c>
      <c r="F29" s="20">
        <f t="shared" si="8"/>
        <v>5.81029905658905E-3</v>
      </c>
      <c r="G29" s="20">
        <f t="shared" si="8"/>
        <v>-0.43324829874736653</v>
      </c>
      <c r="H29" s="20">
        <f t="shared" si="8"/>
        <v>-0.22165726776759309</v>
      </c>
      <c r="I29" s="20">
        <f t="shared" si="8"/>
        <v>6.7803389452381138E-2</v>
      </c>
      <c r="J29" s="20">
        <f t="shared" si="8"/>
        <v>0.11582101234273215</v>
      </c>
      <c r="K29" s="20">
        <f t="shared" si="8"/>
        <v>9.3582158856560613E-2</v>
      </c>
      <c r="T29" s="23"/>
      <c r="U29" s="23"/>
      <c r="V29" s="19"/>
      <c r="W29" s="19"/>
      <c r="X29" s="19"/>
      <c r="Y29" s="19"/>
    </row>
    <row r="30" spans="1:29" s="2" customFormat="1" x14ac:dyDescent="0.3">
      <c r="A30" t="s">
        <v>105</v>
      </c>
      <c r="B30" s="20"/>
      <c r="C30" s="20">
        <f>(C10+C8)/AVERAGE('Airtel-input'!B61:C61)</f>
        <v>0.105274709592014</v>
      </c>
      <c r="D30" s="20">
        <f>(D10+D8)/AVERAGE('Airtel-input'!C61:D61)</f>
        <v>7.5613465404450103E-2</v>
      </c>
      <c r="E30" s="20">
        <f>(E10+E8)/AVERAGE('Airtel-input'!D61:E61)</f>
        <v>5.2268029876102878E-2</v>
      </c>
      <c r="F30" s="20">
        <f>(F10+F8)/AVERAGE('Airtel-input'!E61:F61)</f>
        <v>3.3962165405112398E-2</v>
      </c>
      <c r="G30" s="20">
        <f>(G10+G8)/AVERAGE('Airtel-input'!F61:G61)</f>
        <v>-9.1151154224744346E-2</v>
      </c>
      <c r="H30" s="20">
        <f>(H10+H8)/AVERAGE('Airtel-input'!G61:H61)</f>
        <v>3.31467257533812E-2</v>
      </c>
      <c r="I30" s="20">
        <f>(I10+I8)/AVERAGE('Airtel-input'!H61:I61)</f>
        <v>8.2478168623161083E-2</v>
      </c>
      <c r="J30" s="20">
        <f>(J10+J8)/AVERAGE('Airtel-input'!I61:J61)</f>
        <v>8.9010159547917383E-2</v>
      </c>
      <c r="K30" s="20">
        <f>(K10+K8)/AVERAGE('Airtel-input'!J61:K61)</f>
        <v>7.9692416737557351E-2</v>
      </c>
      <c r="T30" s="23"/>
      <c r="U30" s="23"/>
      <c r="V30" s="19"/>
      <c r="W30" s="19"/>
      <c r="X30" s="19"/>
      <c r="Y30" s="19"/>
    </row>
    <row r="31" spans="1:29" s="2" customFormat="1" x14ac:dyDescent="0.3">
      <c r="A31" s="2" t="s">
        <v>106</v>
      </c>
      <c r="E31" s="5">
        <f t="shared" ref="E31:K31" si="9">+(E13-B13)/SUM(B43:D43)</f>
        <v>-0.29311913281081592</v>
      </c>
      <c r="F31" s="5">
        <f t="shared" si="9"/>
        <v>-0.71759417537195314</v>
      </c>
      <c r="G31" s="5">
        <f t="shared" si="9"/>
        <v>-20.276682069198689</v>
      </c>
      <c r="H31" s="5">
        <f t="shared" si="9"/>
        <v>0.46368487136595132</v>
      </c>
      <c r="I31" s="5">
        <f t="shared" si="9"/>
        <v>-7.8561451443960456E-2</v>
      </c>
      <c r="J31" s="5">
        <f t="shared" si="9"/>
        <v>-0.88530298873392532</v>
      </c>
      <c r="K31" s="5">
        <f t="shared" si="9"/>
        <v>-3.5076326260153237</v>
      </c>
      <c r="T31" s="23"/>
      <c r="U31" s="23"/>
      <c r="V31" s="19"/>
      <c r="W31" s="19"/>
      <c r="X31" s="19"/>
      <c r="Y31" s="19"/>
    </row>
    <row r="32" spans="1:29" s="2" customFormat="1" x14ac:dyDescent="0.3">
      <c r="T32" s="23"/>
      <c r="U32" s="23"/>
      <c r="V32" s="19"/>
      <c r="W32" s="19"/>
      <c r="X32" s="19"/>
      <c r="Y32" s="19"/>
    </row>
    <row r="33" spans="1:25" s="2" customFormat="1" x14ac:dyDescent="0.3">
      <c r="A33" t="s">
        <v>107</v>
      </c>
      <c r="B33" s="17"/>
      <c r="C33" s="4">
        <f>+'Airtel-input'!C17/(('Airtel-input'!B62+'Airtel-input'!C62)/2)</f>
        <v>0.65098724961341514</v>
      </c>
      <c r="D33" s="4">
        <f>+'Airtel-input'!D17/(('Airtel-input'!C62+'Airtel-input'!D62)/2)</f>
        <v>0.54471156218948613</v>
      </c>
      <c r="E33" s="4">
        <f>+'Airtel-input'!E17/(('Airtel-input'!D62+'Airtel-input'!E62)/2)</f>
        <v>0.45227570939331291</v>
      </c>
      <c r="F33" s="4">
        <f>+'Airtel-input'!F17/(('Airtel-input'!E62+'Airtel-input'!F62)/2)</f>
        <v>0.41635855196441318</v>
      </c>
      <c r="G33" s="4">
        <f>+'Airtel-input'!G17/(('Airtel-input'!F62+'Airtel-input'!G62)/2)</f>
        <v>0.40707577769149034</v>
      </c>
      <c r="H33" s="4">
        <f>+'Airtel-input'!H17/(('Airtel-input'!G62+'Airtel-input'!H62)/2)</f>
        <v>0.44447978519889447</v>
      </c>
      <c r="I33" s="4">
        <f>+'Airtel-input'!I17/(('Airtel-input'!H62+'Airtel-input'!I62)/2)</f>
        <v>0.49852928878659958</v>
      </c>
      <c r="J33" s="4">
        <f>+'Airtel-input'!J17/(('Airtel-input'!I62+'Airtel-input'!J62)/2)</f>
        <v>0.53365641559332133</v>
      </c>
      <c r="K33" s="4">
        <f>+'Airtel-input'!K17/(('Airtel-input'!J62+'Airtel-input'!K62)/2)</f>
        <v>0.51656001607723412</v>
      </c>
      <c r="Q33" s="19"/>
      <c r="R33" s="19"/>
      <c r="S33" s="19"/>
      <c r="T33" s="19"/>
      <c r="U33" s="19"/>
      <c r="V33" s="19"/>
      <c r="W33" s="19"/>
      <c r="X33" s="19"/>
      <c r="Y33" s="19"/>
    </row>
    <row r="34" spans="1:25" s="2" customFormat="1" x14ac:dyDescent="0.3">
      <c r="A34" t="s">
        <v>108</v>
      </c>
      <c r="B34" s="17"/>
      <c r="C34" s="17">
        <f>365/('Airtel-input'!C17/AVERAGE('Airtel-input'!B67:C67))</f>
        <v>20.250007510455067</v>
      </c>
      <c r="D34" s="17">
        <f>365/('Airtel-input'!D17/AVERAGE('Airtel-input'!C67:D67))</f>
        <v>19.582921765654145</v>
      </c>
      <c r="E34" s="17">
        <f>365/('Airtel-input'!E17/AVERAGE('Airtel-input'!D67:E67))</f>
        <v>23.460335822882229</v>
      </c>
      <c r="F34" s="17">
        <f>365/('Airtel-input'!F17/AVERAGE('Airtel-input'!E67:F67))</f>
        <v>23.00696210209928</v>
      </c>
      <c r="G34" s="17">
        <f>365/('Airtel-input'!G17/AVERAGE('Airtel-input'!F67:G67))</f>
        <v>18.567929722752147</v>
      </c>
      <c r="H34" s="17">
        <f>365/('Airtel-input'!H17/AVERAGE('Airtel-input'!G67:H67))</f>
        <v>14.952311167828512</v>
      </c>
      <c r="I34" s="17">
        <f>365/('Airtel-input'!I17/AVERAGE('Airtel-input'!H67:I67))</f>
        <v>12.047825810896729</v>
      </c>
      <c r="J34" s="17">
        <f>365/('Airtel-input'!J17/AVERAGE('Airtel-input'!I67:J67))</f>
        <v>10.542113323674332</v>
      </c>
      <c r="K34" s="17">
        <f>365/('Airtel-input'!K17/AVERAGE('Airtel-input'!J67:K67))</f>
        <v>10.597436765913868</v>
      </c>
      <c r="Q34" s="19"/>
      <c r="R34" s="19"/>
      <c r="S34" s="19"/>
      <c r="T34" s="19"/>
      <c r="U34" s="19"/>
      <c r="V34" s="19"/>
      <c r="W34" s="19"/>
      <c r="X34" s="19"/>
      <c r="Y34" s="19"/>
    </row>
    <row r="35" spans="1:25" s="2" customFormat="1" x14ac:dyDescent="0.3">
      <c r="A35" t="s">
        <v>109</v>
      </c>
      <c r="B35" s="17"/>
      <c r="C35" s="45">
        <f>'Airtel-input'!C17/(AVERAGE('Airtel-input'!B68:C68))</f>
        <v>636.96535796766739</v>
      </c>
      <c r="D35" s="45">
        <f>'Airtel-input'!D17/(AVERAGE('Airtel-input'!C68:D68))</f>
        <v>875.85596330275234</v>
      </c>
      <c r="E35" s="45">
        <f>'Airtel-input'!E17/(AVERAGE('Airtel-input'!D68:E68))</f>
        <v>1399.4716342082982</v>
      </c>
      <c r="F35" s="45">
        <f>'Airtel-input'!F17/(AVERAGE('Airtel-input'!E68:F68))</f>
        <v>1024.4793912492073</v>
      </c>
      <c r="G35" s="45">
        <f>'Airtel-input'!G17/(AVERAGE('Airtel-input'!F68:G68))</f>
        <v>713.73012637586623</v>
      </c>
      <c r="H35" s="45">
        <f>'Airtel-input'!H17/(AVERAGE('Airtel-input'!G68:H68))</f>
        <v>475.83731378576499</v>
      </c>
      <c r="I35" s="45">
        <f>'Airtel-input'!I17/(AVERAGE('Airtel-input'!H68:I68))</f>
        <v>363.64087363494536</v>
      </c>
      <c r="J35" s="45">
        <f>'Airtel-input'!J17/(AVERAGE('Airtel-input'!I68:J68))</f>
        <v>439.9140056907998</v>
      </c>
      <c r="K35" s="45">
        <f>'Airtel-input'!K17/(AVERAGE('Airtel-input'!J68:K68))</f>
        <v>482.64650040225257</v>
      </c>
      <c r="Q35" s="19"/>
      <c r="R35" s="19"/>
      <c r="S35" s="19"/>
      <c r="T35" s="19"/>
      <c r="U35" s="19"/>
      <c r="V35" s="19"/>
      <c r="W35" s="19"/>
      <c r="X35" s="19"/>
      <c r="Y35" s="19"/>
    </row>
    <row r="36" spans="1:25" s="2" customFormat="1" x14ac:dyDescent="0.3">
      <c r="A36" t="s">
        <v>110</v>
      </c>
      <c r="B36" s="17"/>
      <c r="C36" s="17">
        <f t="shared" ref="C36:K36" si="10">+C34+365/C35</f>
        <v>20.823037103719898</v>
      </c>
      <c r="D36" s="17">
        <f t="shared" si="10"/>
        <v>19.999656954193167</v>
      </c>
      <c r="E36" s="17">
        <f t="shared" si="10"/>
        <v>23.721148540395067</v>
      </c>
      <c r="F36" s="17">
        <f t="shared" si="10"/>
        <v>23.363240620845211</v>
      </c>
      <c r="G36" s="17">
        <f t="shared" si="10"/>
        <v>19.079327499742973</v>
      </c>
      <c r="H36" s="17">
        <f t="shared" si="10"/>
        <v>15.719380057605267</v>
      </c>
      <c r="I36" s="17">
        <f t="shared" si="10"/>
        <v>13.051563362045666</v>
      </c>
      <c r="J36" s="17">
        <f t="shared" si="10"/>
        <v>11.371820937613194</v>
      </c>
      <c r="K36" s="17">
        <f t="shared" si="10"/>
        <v>11.353683832236316</v>
      </c>
      <c r="Q36" s="19"/>
      <c r="R36" s="19"/>
      <c r="S36" s="19"/>
      <c r="T36" s="19"/>
      <c r="U36" s="19"/>
      <c r="V36" s="19"/>
      <c r="W36" s="19"/>
      <c r="X36" s="19"/>
      <c r="Y36" s="19"/>
    </row>
    <row r="37" spans="1:25" s="2" customFormat="1" x14ac:dyDescent="0.3">
      <c r="A37"/>
      <c r="B37" s="17"/>
      <c r="C37" s="17"/>
      <c r="D37" s="17"/>
      <c r="E37" s="17"/>
      <c r="F37" s="17"/>
      <c r="G37" s="17"/>
      <c r="H37" s="17"/>
      <c r="I37" s="17"/>
      <c r="J37" s="17"/>
      <c r="K37" s="17"/>
      <c r="N37" s="74" t="s">
        <v>266</v>
      </c>
      <c r="T37" s="19"/>
      <c r="U37" s="19"/>
      <c r="V37" s="19"/>
      <c r="W37" s="19"/>
      <c r="X37" s="19"/>
      <c r="Y37" s="19"/>
    </row>
    <row r="38" spans="1:25" s="2" customFormat="1" x14ac:dyDescent="0.3">
      <c r="A38" t="s">
        <v>111</v>
      </c>
      <c r="B38" s="21">
        <f>+'Airtel-input'!B62</f>
        <v>124278.6</v>
      </c>
      <c r="C38" s="21">
        <f>+'Airtel-input'!C62</f>
        <v>172292.8</v>
      </c>
      <c r="D38" s="21">
        <f>+'Airtel-input'!D62</f>
        <v>178235.1</v>
      </c>
      <c r="E38" s="21">
        <f>+'Airtel-input'!E62</f>
        <v>187200.4</v>
      </c>
      <c r="F38" s="21">
        <f>+'Airtel-input'!F62</f>
        <v>200831.5</v>
      </c>
      <c r="G38" s="21">
        <f>+'Airtel-input'!G62</f>
        <v>229255.5</v>
      </c>
      <c r="H38" s="21">
        <f>+'Airtel-input'!H62</f>
        <v>223479.6</v>
      </c>
      <c r="I38" s="21">
        <f>+'Airtel-input'!I62</f>
        <v>244083.3</v>
      </c>
      <c r="J38" s="21">
        <f>+'Airtel-input'!J62</f>
        <v>277393.8</v>
      </c>
      <c r="K38" s="21">
        <f>+'Airtel-input'!K62</f>
        <v>303303.09999999998</v>
      </c>
      <c r="T38" s="19"/>
      <c r="U38" s="19"/>
      <c r="V38" s="19"/>
      <c r="W38" s="19"/>
      <c r="X38" s="19"/>
      <c r="Y38" s="19"/>
    </row>
    <row r="39" spans="1:25" s="2" customFormat="1" x14ac:dyDescent="0.3">
      <c r="A39" t="s">
        <v>112</v>
      </c>
      <c r="B39" s="21">
        <f>+'Airtel-input'!B63</f>
        <v>17414.8</v>
      </c>
      <c r="C39" s="21">
        <f>+'Airtel-input'!C63</f>
        <v>5702</v>
      </c>
      <c r="D39" s="21">
        <f>+'Airtel-input'!D63</f>
        <v>10838.5</v>
      </c>
      <c r="E39" s="21">
        <f>+'Airtel-input'!E63</f>
        <v>9751.2000000000007</v>
      </c>
      <c r="F39" s="21">
        <f>+'Airtel-input'!F63</f>
        <v>9634.2000000000007</v>
      </c>
      <c r="G39" s="21">
        <f>+'Airtel-input'!G63</f>
        <v>4282.3</v>
      </c>
      <c r="H39" s="21">
        <f>+'Airtel-input'!H63</f>
        <v>5726.5</v>
      </c>
      <c r="I39" s="21">
        <f>+'Airtel-input'!I63</f>
        <v>5954.7</v>
      </c>
      <c r="J39" s="21">
        <f>+'Airtel-input'!J63</f>
        <v>49425.4</v>
      </c>
      <c r="K39" s="21">
        <f>+'Airtel-input'!K63</f>
        <v>16904.099999999999</v>
      </c>
      <c r="L39" s="23"/>
      <c r="P39" s="23"/>
      <c r="Q39" s="23"/>
      <c r="R39" s="23"/>
      <c r="S39" s="23"/>
      <c r="T39" s="23"/>
      <c r="U39" s="23"/>
      <c r="V39" s="19"/>
      <c r="W39" s="19"/>
      <c r="X39" s="19"/>
      <c r="Y39" s="19"/>
    </row>
    <row r="40" spans="1:25" x14ac:dyDescent="0.3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21"/>
      <c r="T40" s="23"/>
      <c r="U40" s="23"/>
      <c r="V40" s="23"/>
      <c r="W40" s="23"/>
      <c r="X40" s="23"/>
      <c r="Y40" s="23"/>
    </row>
    <row r="41" spans="1:25" x14ac:dyDescent="0.3">
      <c r="A41" t="s">
        <v>93</v>
      </c>
      <c r="B41" s="17">
        <f>+'Airtel-input'!B31</f>
        <v>1539</v>
      </c>
      <c r="C41" s="17">
        <f>+'Airtel-input'!C31</f>
        <v>543.65</v>
      </c>
      <c r="D41" s="17">
        <f>+'Airtel-input'!D31</f>
        <v>399.74</v>
      </c>
      <c r="E41" s="17">
        <f>+'Airtel-input'!E31</f>
        <v>2134.61</v>
      </c>
      <c r="F41" s="17">
        <f>+'Airtel-input'!F31</f>
        <v>999.35</v>
      </c>
      <c r="G41" s="17">
        <f>+'Airtel-input'!G31</f>
        <v>1091.1199999999999</v>
      </c>
      <c r="H41" s="17">
        <f>+'Airtel-input'!H31</f>
        <v>0</v>
      </c>
      <c r="I41" s="17">
        <f>+'Airtel-input'!I31</f>
        <v>1677</v>
      </c>
      <c r="J41" s="17">
        <f>+'Airtel-input'!J31</f>
        <v>2269.2800000000002</v>
      </c>
      <c r="K41" s="17">
        <f>+'Airtel-input'!K31</f>
        <v>4602.5600000000004</v>
      </c>
      <c r="L41" s="20"/>
      <c r="M41" s="44">
        <f>+SUM(B41:K41)</f>
        <v>15256.310000000001</v>
      </c>
      <c r="N41" s="19" t="s">
        <v>113</v>
      </c>
      <c r="O41" s="20">
        <f>IF(B41=0,"",POWER($K41/B41,1/9)-1)</f>
        <v>0.12943779177019143</v>
      </c>
      <c r="P41" s="20">
        <f>IF(D41=0,"",POWER($K41/D41,1/7)-1)</f>
        <v>0.41776131333876498</v>
      </c>
      <c r="Q41" s="20">
        <f>IF(F41=0,"",POWER($K41/F41,1/5)-1)</f>
        <v>0.35723911836174183</v>
      </c>
      <c r="R41" s="20" t="str">
        <f>IF(H41=0,"",POWER($K41/H41, 1/3)-1)</f>
        <v/>
      </c>
      <c r="S41" s="20" t="str">
        <f>IF(ISERROR(MAX(IF(J41=0,"",(K41-J41)/J41),IF(K41=0,"",(#REF!-K41)/K41))),"",MAX(IF(J41=0,"",(K41-J41)/J41),IF(K41=0,"",(#REF!-K41)/K41)))</f>
        <v/>
      </c>
      <c r="T41" s="23"/>
      <c r="U41" s="23"/>
      <c r="V41" s="23"/>
      <c r="W41" s="23"/>
      <c r="X41" s="23"/>
      <c r="Y41" s="23"/>
    </row>
    <row r="42" spans="1:25" x14ac:dyDescent="0.3">
      <c r="A42" t="s">
        <v>114</v>
      </c>
      <c r="B42" s="20">
        <f>+'Airtel-input'!B31/'Airtel-input'!B30</f>
        <v>0.33305921052631576</v>
      </c>
      <c r="C42" s="20">
        <f>+'Airtel-input'!C31/'Airtel-input'!C30</f>
        <v>8.946467655141771E-2</v>
      </c>
      <c r="D42" s="20">
        <f>+'Airtel-input'!D31/'Airtel-input'!D30</f>
        <v>0.10520027369861572</v>
      </c>
      <c r="E42" s="20">
        <f>+'Airtel-input'!E31/'Airtel-input'!E30</f>
        <v>1.9423202911737945</v>
      </c>
      <c r="F42" s="20">
        <f>+'Airtel-input'!F31/'Airtel-input'!F30</f>
        <v>2.4404151404151406</v>
      </c>
      <c r="G42" s="20">
        <f>+'Airtel-input'!G31/'Airtel-input'!G30</f>
        <v>-3.390340301772353E-2</v>
      </c>
      <c r="H42" s="20">
        <f>+'Airtel-input'!H31/'Airtel-input'!H30</f>
        <v>0</v>
      </c>
      <c r="I42" s="20">
        <f>+'Airtel-input'!I31/'Airtel-input'!I30</f>
        <v>0.39413382218148491</v>
      </c>
      <c r="J42" s="20">
        <f>+'Airtel-input'!J31/'Airtel-input'!J30</f>
        <v>0.27190356941731875</v>
      </c>
      <c r="K42" s="20">
        <f>+'Airtel-input'!K31/'Airtel-input'!K30</f>
        <v>0.61638676844783724</v>
      </c>
      <c r="P42" s="19"/>
      <c r="Q42" s="19"/>
      <c r="R42" s="19"/>
      <c r="S42" s="2"/>
      <c r="T42" s="19"/>
      <c r="U42" s="19"/>
      <c r="V42" s="23"/>
      <c r="W42" s="23"/>
      <c r="X42" s="23"/>
      <c r="Y42" s="23"/>
    </row>
    <row r="43" spans="1:25" s="2" customFormat="1" x14ac:dyDescent="0.3">
      <c r="A43" t="s">
        <v>115</v>
      </c>
      <c r="B43" s="21">
        <f>+'Airtel-input'!B30-'Airtel-input'!B31</f>
        <v>3081.8</v>
      </c>
      <c r="C43" s="21">
        <f>+'Airtel-input'!C30-'Airtel-input'!C31</f>
        <v>5533.05</v>
      </c>
      <c r="D43" s="21">
        <f>+'Airtel-input'!D30-'Airtel-input'!D31</f>
        <v>3400.0600000000004</v>
      </c>
      <c r="E43" s="21">
        <f>+'Airtel-input'!E30-'Airtel-input'!E31</f>
        <v>-1035.6100000000001</v>
      </c>
      <c r="F43" s="21">
        <f>+'Airtel-input'!F30-'Airtel-input'!F31</f>
        <v>-589.85</v>
      </c>
      <c r="G43" s="21">
        <f>+'Airtel-input'!G30-'Airtel-input'!G31</f>
        <v>-33274.32</v>
      </c>
      <c r="H43" s="21">
        <f>+'Airtel-input'!H30-'Airtel-input'!H31</f>
        <v>-15083.5</v>
      </c>
      <c r="I43" s="21">
        <f>+'Airtel-input'!I30-'Airtel-input'!I31</f>
        <v>2577.8999999999996</v>
      </c>
      <c r="J43" s="21">
        <f>+'Airtel-input'!J30-'Airtel-input'!J31</f>
        <v>6076.619999999999</v>
      </c>
      <c r="K43" s="21">
        <f>+'Airtel-input'!K30-'Airtel-input'!K31</f>
        <v>2864.4399999999996</v>
      </c>
      <c r="P43" s="19"/>
      <c r="Q43" s="19"/>
      <c r="R43" s="19"/>
      <c r="T43" s="19"/>
      <c r="U43" s="19"/>
      <c r="V43" s="19"/>
      <c r="W43" s="19"/>
      <c r="X43" s="19"/>
      <c r="Y43" s="19"/>
    </row>
    <row r="44" spans="1:25" s="2" customFormat="1" x14ac:dyDescent="0.3">
      <c r="A44" t="s">
        <v>11</v>
      </c>
      <c r="B44" s="45">
        <f t="shared" ref="B44:K44" si="11">IF(+B45/B13&lt;=0,0,B45/B13)</f>
        <v>42.171135950484761</v>
      </c>
      <c r="C44" s="45">
        <f t="shared" si="11"/>
        <v>28.601619711356491</v>
      </c>
      <c r="D44" s="45">
        <f t="shared" si="11"/>
        <v>45.643225959261009</v>
      </c>
      <c r="E44" s="45">
        <f t="shared" si="11"/>
        <v>179.74674021838032</v>
      </c>
      <c r="F44" s="45">
        <f t="shared" si="11"/>
        <v>403.02917582417575</v>
      </c>
      <c r="G44" s="45">
        <f t="shared" si="11"/>
        <v>0</v>
      </c>
      <c r="H44" s="45">
        <f t="shared" si="11"/>
        <v>0</v>
      </c>
      <c r="I44" s="45">
        <f t="shared" si="11"/>
        <v>104.40556264542057</v>
      </c>
      <c r="J44" s="45">
        <f t="shared" si="11"/>
        <v>50.033548209300378</v>
      </c>
      <c r="K44" s="45">
        <f t="shared" si="11"/>
        <v>93.047487076469793</v>
      </c>
      <c r="Q44" s="19"/>
      <c r="R44" s="19"/>
      <c r="S44" s="19"/>
      <c r="T44" s="19"/>
      <c r="U44" s="19"/>
      <c r="V44" s="19"/>
      <c r="W44" s="19"/>
      <c r="X44" s="19"/>
      <c r="Y44" s="19"/>
    </row>
    <row r="45" spans="1:25" s="2" customFormat="1" x14ac:dyDescent="0.3">
      <c r="A45" t="s">
        <v>116</v>
      </c>
      <c r="B45" s="17">
        <f>+'Airtel-input'!B90*'Airtel-input'!B93</f>
        <v>194864.38499999998</v>
      </c>
      <c r="C45" s="17">
        <f>+'Airtel-input'!C90*'Airtel-input'!C93</f>
        <v>173803.46249999999</v>
      </c>
      <c r="D45" s="17">
        <f>+'Airtel-input'!D90*'Airtel-input'!D93</f>
        <v>173435.13</v>
      </c>
      <c r="E45" s="17">
        <f>+'Airtel-input'!E90*'Airtel-input'!E93</f>
        <v>197541.66749999998</v>
      </c>
      <c r="F45" s="17">
        <f>+'Airtel-input'!F90*'Airtel-input'!F93</f>
        <v>165040.44749999998</v>
      </c>
      <c r="G45" s="17">
        <f>+'Airtel-input'!G90*'Airtel-input'!G93</f>
        <v>252962.72039999999</v>
      </c>
      <c r="H45" s="17">
        <f>+'Airtel-input'!H90*'Airtel-input'!H93</f>
        <v>298781.21679999999</v>
      </c>
      <c r="I45" s="17">
        <f>+'Airtel-input'!I90*'Airtel-input'!I93</f>
        <v>444235.22849999997</v>
      </c>
      <c r="J45" s="17">
        <f>+'Airtel-input'!J90*'Airtel-input'!J93</f>
        <v>417574.99</v>
      </c>
      <c r="K45" s="17">
        <f>+'Airtel-input'!K90*'Airtel-input'!K93</f>
        <v>694785.58599999989</v>
      </c>
      <c r="L45" s="34">
        <f>+'Airtel-input'!B9</f>
        <v>939107.25</v>
      </c>
      <c r="M45" s="34"/>
      <c r="T45" s="19"/>
      <c r="U45" s="19"/>
      <c r="V45" s="19"/>
      <c r="W45" s="19"/>
      <c r="X45" s="19"/>
      <c r="Y45" s="19"/>
    </row>
    <row r="46" spans="1:25" s="2" customFormat="1" x14ac:dyDescent="0.3">
      <c r="A46" t="s">
        <v>95</v>
      </c>
      <c r="B46" s="21">
        <f>+'Airtel-input'!B69+'Airtel-input'!B64</f>
        <v>12835.1</v>
      </c>
      <c r="C46" s="21">
        <f>+'Airtel-input'!C69+'Airtel-input'!C64</f>
        <v>17075.7</v>
      </c>
      <c r="D46" s="21">
        <f>+'Airtel-input'!D69+'Airtel-input'!D64</f>
        <v>19437</v>
      </c>
      <c r="E46" s="21">
        <f>+'Airtel-input'!E69+'Airtel-input'!E64</f>
        <v>22829.200000000001</v>
      </c>
      <c r="F46" s="21">
        <f>+'Airtel-input'!F69+'Airtel-input'!F64</f>
        <v>23775</v>
      </c>
      <c r="G46" s="21">
        <f>+'Airtel-input'!G69+'Airtel-input'!G64</f>
        <v>41369.199999999997</v>
      </c>
      <c r="H46" s="21">
        <f>+'Airtel-input'!H69+'Airtel-input'!H64</f>
        <v>41016.5</v>
      </c>
      <c r="I46" s="21">
        <f>+'Airtel-input'!I69+'Airtel-input'!I64</f>
        <v>42843.399999999994</v>
      </c>
      <c r="J46" s="21">
        <f>+'Airtel-input'!J69+'Airtel-input'!J64</f>
        <v>46372.5</v>
      </c>
      <c r="K46" s="21">
        <f>+'Airtel-input'!K69+'Airtel-input'!K64</f>
        <v>47942.2</v>
      </c>
      <c r="L46" s="34">
        <f>+K46</f>
        <v>47942.2</v>
      </c>
      <c r="T46" s="19"/>
      <c r="U46" s="19"/>
      <c r="V46" s="19"/>
      <c r="W46" s="19"/>
      <c r="X46" s="19"/>
      <c r="Y46" s="19"/>
    </row>
    <row r="47" spans="1:25" s="2" customFormat="1" x14ac:dyDescent="0.3">
      <c r="T47" s="23"/>
      <c r="U47" s="23"/>
      <c r="V47" s="19"/>
      <c r="W47" s="19"/>
      <c r="X47" s="19"/>
      <c r="Y47" s="19"/>
    </row>
    <row r="48" spans="1:25" x14ac:dyDescent="0.3">
      <c r="A48" s="2" t="s">
        <v>87</v>
      </c>
      <c r="B48" s="36">
        <f>+'Airtel-input'!B59</f>
        <v>83415.100000000006</v>
      </c>
      <c r="C48" s="18">
        <f>+'Airtel-input'!C59</f>
        <v>100646.5</v>
      </c>
      <c r="D48" s="18">
        <f>+'Airtel-input'!D59</f>
        <v>107287.6</v>
      </c>
      <c r="E48" s="18">
        <f>+'Airtel-input'!E59</f>
        <v>111333.5</v>
      </c>
      <c r="F48" s="18">
        <f>+'Airtel-input'!F59</f>
        <v>125428.3</v>
      </c>
      <c r="G48" s="18">
        <f>+'Airtel-input'!G59</f>
        <v>148228.1</v>
      </c>
      <c r="H48" s="18">
        <f>+'Airtel-input'!H59</f>
        <v>162785.20000000001</v>
      </c>
      <c r="I48" s="18">
        <f>+'Airtel-input'!I59</f>
        <v>169677.9</v>
      </c>
      <c r="J48" s="18">
        <f>+'Airtel-input'!J59</f>
        <v>226020.3</v>
      </c>
      <c r="K48" s="18">
        <f>+'Airtel-input'!K59</f>
        <v>215592.3</v>
      </c>
      <c r="L48" s="2"/>
      <c r="M48" s="2"/>
      <c r="N48" s="19" t="s">
        <v>117</v>
      </c>
      <c r="O48" s="20">
        <f>IF(B48=0,"",POWER($K48/B48,1/9)-1)</f>
        <v>0.11127348532732362</v>
      </c>
      <c r="P48" s="20">
        <f>IF(D48=0,"",POWER($K48/D48,1/7)-1)</f>
        <v>0.10483563561489895</v>
      </c>
      <c r="Q48" s="20">
        <f>IF(F48=0,"",POWER($K48/F48,1/5)-1)</f>
        <v>0.114416521353365</v>
      </c>
      <c r="R48" s="20">
        <f>IF(H48=0,"",POWER($K48/H48, 1/3)-1)</f>
        <v>9.8178093390203891E-2</v>
      </c>
      <c r="S48" s="20">
        <f>IF(ISERROR(MAX(IF(J48=0,"",(K48-J48)/J48),IF(K48=0,"",(L48-K48)/K48))),"",MAX(IF(J48=0,"",(K48-J48)/J48),IF(K48=0,"",(L48-K48)/K48)))</f>
        <v>-4.6137448715889678E-2</v>
      </c>
      <c r="T48" s="19"/>
      <c r="U48" s="19"/>
      <c r="V48" s="23"/>
      <c r="W48" s="23"/>
      <c r="X48" s="23"/>
      <c r="Y48" s="23"/>
    </row>
    <row r="49" spans="1:25" s="2" customFormat="1" x14ac:dyDescent="0.3">
      <c r="A49" s="2" t="s">
        <v>118</v>
      </c>
      <c r="B49" s="21">
        <f>+'Airtel-input'!B57+'Airtel-input'!B58</f>
        <v>39777</v>
      </c>
      <c r="C49" s="21">
        <f>+'Airtel-input'!C57+'Airtel-input'!C58</f>
        <v>66769.3</v>
      </c>
      <c r="D49" s="21">
        <f>+'Airtel-input'!D57+'Airtel-input'!D58</f>
        <v>67456.3</v>
      </c>
      <c r="E49" s="21">
        <f>+'Airtel-input'!E57+'Airtel-input'!E58</f>
        <v>69534.399999999994</v>
      </c>
      <c r="F49" s="21">
        <f>+'Airtel-input'!F57+'Airtel-input'!F58</f>
        <v>71422.2</v>
      </c>
      <c r="G49" s="21">
        <f>+'Airtel-input'!G57+'Airtel-input'!G58</f>
        <v>77144.800000000003</v>
      </c>
      <c r="H49" s="21">
        <f>+'Airtel-input'!H57+'Airtel-input'!H58</f>
        <v>58952.7</v>
      </c>
      <c r="I49" s="21">
        <f>+'Airtel-input'!I57+'Airtel-input'!I58</f>
        <v>66554.3</v>
      </c>
      <c r="J49" s="21">
        <f>+'Airtel-input'!J57+'Airtel-input'!J58</f>
        <v>77562.900000000009</v>
      </c>
      <c r="K49" s="21">
        <f>+'Airtel-input'!K57+'Airtel-input'!K58</f>
        <v>82018.8</v>
      </c>
      <c r="L49" s="34"/>
      <c r="M49" s="34"/>
      <c r="N49" s="19" t="s">
        <v>119</v>
      </c>
      <c r="O49" s="20">
        <f>IF(B49=0,"",POWER($K49/B49,1/9)-1)</f>
        <v>8.3727649869346887E-2</v>
      </c>
      <c r="P49" s="20">
        <f>IF(D49=0,"",POWER($K49/D49,1/7)-1)</f>
        <v>2.8317604014355791E-2</v>
      </c>
      <c r="Q49" s="20">
        <f>IF(F49=0,"",POWER($K49/F49,1/5)-1)</f>
        <v>2.8054261066006392E-2</v>
      </c>
      <c r="R49" s="20">
        <f>IF(H49=0,"",POWER($K49/H49, 1/3)-1)</f>
        <v>0.11635735201908126</v>
      </c>
      <c r="S49" s="20">
        <f>IF(ISERROR(MAX(IF(J49=0,"",(K49-J49)/J49),IF(K49=0,"",(L49-K49)/K49))),"",MAX(IF(J49=0,"",(K49-J49)/J49),IF(K49=0,"",(L49-K49)/K49)))</f>
        <v>5.7448857636834022E-2</v>
      </c>
      <c r="T49" s="19"/>
      <c r="U49" s="19"/>
      <c r="V49" s="19"/>
      <c r="W49" s="19"/>
      <c r="X49" s="19"/>
      <c r="Y49" s="19"/>
    </row>
    <row r="50" spans="1:25" s="2" customFormat="1" x14ac:dyDescent="0.3">
      <c r="A50" s="2" t="s">
        <v>120</v>
      </c>
      <c r="B50" s="46">
        <f t="shared" ref="B50:K50" si="12">B48/B49</f>
        <v>2.0970686577670516</v>
      </c>
      <c r="C50" s="46">
        <f t="shared" si="12"/>
        <v>1.5073768932728064</v>
      </c>
      <c r="D50" s="46">
        <f t="shared" si="12"/>
        <v>1.5904756116181884</v>
      </c>
      <c r="E50" s="46">
        <f t="shared" si="12"/>
        <v>1.6011283623645276</v>
      </c>
      <c r="F50" s="46">
        <f t="shared" si="12"/>
        <v>1.756152848834116</v>
      </c>
      <c r="G50" s="46">
        <f t="shared" si="12"/>
        <v>1.9214269788760876</v>
      </c>
      <c r="H50" s="46">
        <f t="shared" si="12"/>
        <v>2.7612848945001676</v>
      </c>
      <c r="I50" s="46">
        <f t="shared" si="12"/>
        <v>2.5494656243097737</v>
      </c>
      <c r="J50" s="46">
        <f t="shared" si="12"/>
        <v>2.9140259067157102</v>
      </c>
      <c r="K50" s="46">
        <f t="shared" si="12"/>
        <v>2.6285717420883992</v>
      </c>
      <c r="L50"/>
      <c r="M50"/>
      <c r="R50" s="19"/>
      <c r="S50" s="19"/>
      <c r="T50" s="19"/>
      <c r="U50" s="19"/>
      <c r="V50" s="19"/>
      <c r="W50" s="19"/>
      <c r="X50" s="19"/>
      <c r="Y50" s="19"/>
    </row>
    <row r="51" spans="1:25" s="2" customFormat="1" x14ac:dyDescent="0.3">
      <c r="A51" s="2" t="s">
        <v>121</v>
      </c>
      <c r="B51" s="47">
        <v>0.12</v>
      </c>
      <c r="C51"/>
      <c r="D51"/>
      <c r="E51"/>
      <c r="F51"/>
      <c r="G51"/>
      <c r="H51"/>
      <c r="I51"/>
      <c r="J51"/>
      <c r="K51"/>
      <c r="L51"/>
      <c r="M51"/>
      <c r="P51"/>
      <c r="R51" s="19"/>
      <c r="S51" s="19"/>
      <c r="T51" s="19"/>
      <c r="U51" s="19"/>
      <c r="V51" s="19"/>
      <c r="W51" s="19"/>
      <c r="X51" s="19"/>
      <c r="Y51" s="19"/>
    </row>
    <row r="52" spans="1:25" s="2" customFormat="1" x14ac:dyDescent="0.3">
      <c r="A52" t="s">
        <v>122</v>
      </c>
      <c r="B52"/>
      <c r="C52" s="44">
        <f t="shared" ref="C52:K52" si="13">AVERAGE(B48:C48)*$B$51</f>
        <v>11043.696</v>
      </c>
      <c r="D52" s="44">
        <f t="shared" si="13"/>
        <v>12476.046</v>
      </c>
      <c r="E52" s="44">
        <f t="shared" si="13"/>
        <v>13117.266</v>
      </c>
      <c r="F52" s="44">
        <f t="shared" si="13"/>
        <v>14205.707999999999</v>
      </c>
      <c r="G52" s="44">
        <f t="shared" si="13"/>
        <v>16419.384000000002</v>
      </c>
      <c r="H52" s="44">
        <f t="shared" si="13"/>
        <v>18660.798000000003</v>
      </c>
      <c r="I52" s="44">
        <f t="shared" si="13"/>
        <v>19947.785999999996</v>
      </c>
      <c r="J52" s="44">
        <f t="shared" si="13"/>
        <v>23741.891999999996</v>
      </c>
      <c r="K52" s="44">
        <f t="shared" si="13"/>
        <v>26496.755999999998</v>
      </c>
      <c r="L52"/>
      <c r="M52" s="44">
        <f>+SUM(C52:K52)</f>
        <v>156109.33199999999</v>
      </c>
      <c r="Q52" s="48"/>
      <c r="R52"/>
      <c r="S52"/>
      <c r="T52" s="19"/>
      <c r="U52" s="19"/>
      <c r="V52" s="19"/>
      <c r="W52" s="19"/>
      <c r="X52" s="19"/>
      <c r="Y52" s="19"/>
    </row>
    <row r="53" spans="1:25" s="2" customFormat="1" x14ac:dyDescent="0.3">
      <c r="A53" t="s">
        <v>123</v>
      </c>
      <c r="B53"/>
      <c r="C53" s="49">
        <f t="shared" ref="C53:K53" si="14">C4/C52</f>
        <v>3.0772487761343679</v>
      </c>
      <c r="D53" s="49">
        <f t="shared" si="14"/>
        <v>2.8318106553951483</v>
      </c>
      <c r="E53" s="49">
        <f t="shared" si="14"/>
        <v>2.2930921733233141</v>
      </c>
      <c r="F53" s="49">
        <f t="shared" si="14"/>
        <v>1.8136230872829426</v>
      </c>
      <c r="G53" s="49">
        <f t="shared" si="14"/>
        <v>2.2296512463561364</v>
      </c>
      <c r="H53" s="49">
        <f t="shared" si="14"/>
        <v>2.4264182056951689</v>
      </c>
      <c r="I53" s="49">
        <f t="shared" si="14"/>
        <v>2.8842248458049426</v>
      </c>
      <c r="J53" s="49">
        <f t="shared" si="14"/>
        <v>3.0020143297762454</v>
      </c>
      <c r="K53" s="49">
        <f t="shared" si="14"/>
        <v>2.9547692555269789</v>
      </c>
      <c r="L53"/>
      <c r="M53"/>
      <c r="O53"/>
      <c r="P53" s="20"/>
      <c r="Q53" s="26"/>
      <c r="R53"/>
      <c r="S53"/>
      <c r="T53"/>
      <c r="U53"/>
      <c r="V53" s="19"/>
      <c r="W53" s="19"/>
      <c r="X53" s="19"/>
      <c r="Y53" s="19"/>
    </row>
    <row r="54" spans="1:25" x14ac:dyDescent="0.3">
      <c r="N54" s="21"/>
      <c r="P54" s="24"/>
      <c r="Q54" s="48"/>
    </row>
    <row r="55" spans="1:25" x14ac:dyDescent="0.3">
      <c r="B55" s="14">
        <f t="shared" ref="B55:K55" si="15">+B2</f>
        <v>42094</v>
      </c>
      <c r="C55" s="14">
        <f t="shared" si="15"/>
        <v>42460</v>
      </c>
      <c r="D55" s="14">
        <f t="shared" si="15"/>
        <v>42825</v>
      </c>
      <c r="E55" s="14">
        <f t="shared" si="15"/>
        <v>43190</v>
      </c>
      <c r="F55" s="14">
        <f t="shared" si="15"/>
        <v>43555</v>
      </c>
      <c r="G55" s="14">
        <f t="shared" si="15"/>
        <v>43921</v>
      </c>
      <c r="H55" s="14">
        <f t="shared" si="15"/>
        <v>44286</v>
      </c>
      <c r="I55" s="14">
        <f t="shared" si="15"/>
        <v>44651</v>
      </c>
      <c r="J55" s="14">
        <f t="shared" si="15"/>
        <v>45016</v>
      </c>
      <c r="K55" s="14">
        <f t="shared" si="15"/>
        <v>45382</v>
      </c>
      <c r="L55" s="14"/>
      <c r="M55" s="14" t="str">
        <f>+M2</f>
        <v>Total 10 Yrs</v>
      </c>
      <c r="N55" s="19"/>
      <c r="O55" s="24"/>
      <c r="Q55" s="50"/>
    </row>
    <row r="56" spans="1:25" x14ac:dyDescent="0.3">
      <c r="A56" s="2" t="s">
        <v>80</v>
      </c>
      <c r="B56" s="18">
        <f>+'Airtel-input'!B82</f>
        <v>28059</v>
      </c>
      <c r="C56" s="18">
        <f>+'Airtel-input'!C82</f>
        <v>27942.3</v>
      </c>
      <c r="D56" s="18">
        <f>+'Airtel-input'!D82</f>
        <v>28279.9</v>
      </c>
      <c r="E56" s="18">
        <f>+'Airtel-input'!E82</f>
        <v>29853.8</v>
      </c>
      <c r="F56" s="18">
        <f>+'Airtel-input'!F82</f>
        <v>20070.2</v>
      </c>
      <c r="G56" s="18">
        <f>+'Airtel-input'!G82</f>
        <v>18128.7</v>
      </c>
      <c r="H56" s="18">
        <f>+'Airtel-input'!H82</f>
        <v>48205</v>
      </c>
      <c r="I56" s="18">
        <f>+'Airtel-input'!I82</f>
        <v>55016.6</v>
      </c>
      <c r="J56" s="18">
        <f>+'Airtel-input'!J82</f>
        <v>65324.6</v>
      </c>
      <c r="K56" s="18">
        <f>+'Airtel-input'!K82</f>
        <v>78898.2</v>
      </c>
      <c r="L56" s="31"/>
      <c r="M56" s="18">
        <f>SUM(B56:K56)</f>
        <v>399778.30000000005</v>
      </c>
      <c r="N56" s="19"/>
      <c r="O56" s="2"/>
    </row>
    <row r="57" spans="1:25" x14ac:dyDescent="0.3">
      <c r="A57" t="s">
        <v>124</v>
      </c>
      <c r="B57" s="21">
        <f>+'Airtel-input'!B83</f>
        <v>-22301.1</v>
      </c>
      <c r="C57" s="21">
        <f>+'Airtel-input'!C83</f>
        <v>-14091.4</v>
      </c>
      <c r="D57" s="21">
        <f>+'Airtel-input'!D83</f>
        <v>-30680</v>
      </c>
      <c r="E57" s="21">
        <f>+'Airtel-input'!E83</f>
        <v>-27939.5</v>
      </c>
      <c r="F57" s="21">
        <f>+'Airtel-input'!F83</f>
        <v>-28285.599999999999</v>
      </c>
      <c r="G57" s="21">
        <f>+'Airtel-input'!G83</f>
        <v>-29598.5</v>
      </c>
      <c r="H57" s="21">
        <f>+'Airtel-input'!H83</f>
        <v>-27285.599999999999</v>
      </c>
      <c r="I57" s="21">
        <f>+'Airtel-input'!I83</f>
        <v>-41477.699999999997</v>
      </c>
      <c r="J57" s="21">
        <f>+'Airtel-input'!J83</f>
        <v>-39232.400000000001</v>
      </c>
      <c r="K57" s="21">
        <f>+'Airtel-input'!K83</f>
        <v>-51089</v>
      </c>
      <c r="L57" s="27"/>
      <c r="M57" s="34">
        <f>SUM(B57:K57)</f>
        <v>-311980.80000000005</v>
      </c>
    </row>
    <row r="58" spans="1:25" x14ac:dyDescent="0.3">
      <c r="A58" t="s">
        <v>125</v>
      </c>
      <c r="B58" s="21">
        <f>+'Airtel-input'!B84</f>
        <v>-9672.4</v>
      </c>
      <c r="C58" s="21">
        <f>+'Airtel-input'!C84</f>
        <v>-11946.1</v>
      </c>
      <c r="D58" s="21">
        <f>+'Airtel-input'!D84</f>
        <v>-351.4</v>
      </c>
      <c r="E58" s="21">
        <f>+'Airtel-input'!E84</f>
        <v>1920.5</v>
      </c>
      <c r="F58" s="21">
        <f>+'Airtel-input'!F84</f>
        <v>9463.7999999999993</v>
      </c>
      <c r="G58" s="21">
        <f>+'Airtel-input'!G84</f>
        <v>19144.400000000001</v>
      </c>
      <c r="H58" s="21">
        <f>+'Airtel-input'!H84</f>
        <v>-24910.3</v>
      </c>
      <c r="I58" s="21">
        <f>+'Airtel-input'!I84</f>
        <v>-15203.2</v>
      </c>
      <c r="J58" s="21">
        <f>+'Airtel-input'!J84</f>
        <v>-24469.5</v>
      </c>
      <c r="K58" s="21">
        <f>+'Airtel-input'!K84</f>
        <v>-27778.5</v>
      </c>
      <c r="L58" s="27"/>
      <c r="M58" s="34">
        <f>SUM(B58:K58)</f>
        <v>-83802.7</v>
      </c>
    </row>
    <row r="59" spans="1:25" x14ac:dyDescent="0.3">
      <c r="A59" s="2" t="s">
        <v>126</v>
      </c>
      <c r="B59" s="21">
        <f>+'Airtel-input'!B85</f>
        <v>-3914.5</v>
      </c>
      <c r="C59" s="21">
        <f>+'Airtel-input'!C85</f>
        <v>1904.8</v>
      </c>
      <c r="D59" s="21">
        <f>+'Airtel-input'!D85</f>
        <v>-2751.5</v>
      </c>
      <c r="E59" s="21">
        <f>+'Airtel-input'!E85</f>
        <v>3834.8</v>
      </c>
      <c r="F59" s="21">
        <f>+'Airtel-input'!F85</f>
        <v>1248.4000000000001</v>
      </c>
      <c r="G59" s="21">
        <f>+'Airtel-input'!G85</f>
        <v>7674.6</v>
      </c>
      <c r="H59" s="21">
        <f>+'Airtel-input'!H85</f>
        <v>-3990.9</v>
      </c>
      <c r="I59" s="21">
        <f>+'Airtel-input'!I85</f>
        <v>-1664.3</v>
      </c>
      <c r="J59" s="21">
        <f>+'Airtel-input'!J85</f>
        <v>1622.7</v>
      </c>
      <c r="K59" s="21">
        <f>+'Airtel-input'!K85</f>
        <v>30.7</v>
      </c>
      <c r="L59" s="27"/>
      <c r="M59" s="34">
        <f>SUM(B59:K59)</f>
        <v>3994.8</v>
      </c>
    </row>
    <row r="60" spans="1:25" x14ac:dyDescent="0.3">
      <c r="A60" t="s">
        <v>127</v>
      </c>
      <c r="B60" s="21">
        <f>+'Airtel-input'!B69</f>
        <v>2083.1</v>
      </c>
      <c r="C60" s="21">
        <f>+'Airtel-input'!C69</f>
        <v>5098.7</v>
      </c>
      <c r="D60" s="21">
        <f>+'Airtel-input'!D69</f>
        <v>5098.3</v>
      </c>
      <c r="E60" s="21">
        <f>+'Airtel-input'!E69</f>
        <v>6670.6</v>
      </c>
      <c r="F60" s="21">
        <f>+'Airtel-input'!F69</f>
        <v>8064</v>
      </c>
      <c r="G60" s="21">
        <f>+'Airtel-input'!G69</f>
        <v>15892.7</v>
      </c>
      <c r="H60" s="21">
        <f>+'Airtel-input'!H69</f>
        <v>13466.1</v>
      </c>
      <c r="I60" s="21">
        <f>+'Airtel-input'!I69</f>
        <v>13494.3</v>
      </c>
      <c r="J60" s="21">
        <f>+'Airtel-input'!J69</f>
        <v>13418.6</v>
      </c>
      <c r="K60" s="21">
        <f>+'Airtel-input'!K69</f>
        <v>16339.9</v>
      </c>
      <c r="L60" s="27"/>
      <c r="M60" s="27"/>
    </row>
    <row r="62" spans="1:25" x14ac:dyDescent="0.3">
      <c r="A62" t="s">
        <v>86</v>
      </c>
      <c r="B62" s="21">
        <f>N17</f>
        <v>-26449.410000000003</v>
      </c>
    </row>
    <row r="63" spans="1:25" x14ac:dyDescent="0.3">
      <c r="A63" t="s">
        <v>89</v>
      </c>
      <c r="B63" s="21">
        <f>N18</f>
        <v>744242.86499999999</v>
      </c>
    </row>
    <row r="64" spans="1:25" x14ac:dyDescent="0.3">
      <c r="A64" s="2" t="s">
        <v>92</v>
      </c>
      <c r="B64" s="40">
        <f>N19</f>
        <v>-28.138354125857624</v>
      </c>
    </row>
    <row r="66" spans="1:18" hidden="1" x14ac:dyDescent="0.3">
      <c r="A66" t="s">
        <v>128</v>
      </c>
      <c r="B66" s="20">
        <f t="shared" ref="B66:K66" si="16">B9/B38</f>
        <v>0.15978857180560449</v>
      </c>
      <c r="C66" s="20">
        <f t="shared" si="16"/>
        <v>0.10127991419258379</v>
      </c>
      <c r="D66" s="20">
        <f t="shared" si="16"/>
        <v>0.11093774458566241</v>
      </c>
      <c r="E66" s="20">
        <f t="shared" si="16"/>
        <v>0.1027941179612864</v>
      </c>
      <c r="F66" s="20">
        <f t="shared" si="16"/>
        <v>0.10629557614218885</v>
      </c>
      <c r="G66" s="20">
        <f t="shared" si="16"/>
        <v>0.12078052653044311</v>
      </c>
      <c r="H66" s="20">
        <f t="shared" si="16"/>
        <v>0.13157532052142568</v>
      </c>
      <c r="I66" s="20">
        <f t="shared" si="16"/>
        <v>0.13557133978440966</v>
      </c>
      <c r="J66" s="20">
        <f t="shared" si="16"/>
        <v>0.1313360284188039</v>
      </c>
      <c r="K66" s="20">
        <f t="shared" si="16"/>
        <v>0.13035672896188666</v>
      </c>
      <c r="N66" t="b">
        <f>+OR('Airtel-input'!H49="",'Airtel-input'!I49="",'Airtel-input'!J49="",'Airtel-input'!K49="")</f>
        <v>0</v>
      </c>
    </row>
    <row r="67" spans="1:18" x14ac:dyDescent="0.3">
      <c r="A67" s="2" t="s">
        <v>129</v>
      </c>
    </row>
    <row r="68" spans="1:18" x14ac:dyDescent="0.3">
      <c r="A68" t="s">
        <v>130</v>
      </c>
      <c r="B68" s="26">
        <f>+('Airtel-input'!B18-'Airtel-input'!B19)/'Airtel-input'!B17</f>
        <v>2.9094481101594469E-3</v>
      </c>
      <c r="C68" s="26">
        <f>+('Airtel-input'!C18-'Airtel-input'!C19)/'Airtel-input'!C17</f>
        <v>0</v>
      </c>
      <c r="D68" s="26">
        <f>+('Airtel-input'!D18-'Airtel-input'!D19)/'Airtel-input'!D17</f>
        <v>0</v>
      </c>
      <c r="E68" s="26">
        <f>+('Airtel-input'!E18-'Airtel-input'!E19)/'Airtel-input'!E17</f>
        <v>0</v>
      </c>
      <c r="F68" s="26">
        <f>+('Airtel-input'!F18-'Airtel-input'!F19)/'Airtel-input'!F17</f>
        <v>0</v>
      </c>
      <c r="G68" s="26">
        <f>+('Airtel-input'!G18-'Airtel-input'!G19)/'Airtel-input'!G17</f>
        <v>0</v>
      </c>
      <c r="H68" s="26">
        <f>+('Airtel-input'!H18-'Airtel-input'!H19)/'Airtel-input'!H17</f>
        <v>0</v>
      </c>
      <c r="I68" s="26">
        <f>+('Airtel-input'!I18-'Airtel-input'!I19)/'Airtel-input'!I17</f>
        <v>0</v>
      </c>
      <c r="J68" s="26">
        <f>+('Airtel-input'!J18-'Airtel-input'!J19)/'Airtel-input'!J17</f>
        <v>0</v>
      </c>
      <c r="K68" s="26">
        <f>+('Airtel-input'!K18-'Airtel-input'!K19)/'Airtel-input'!K17</f>
        <v>0</v>
      </c>
    </row>
    <row r="69" spans="1:18" x14ac:dyDescent="0.3">
      <c r="A69" t="s">
        <v>131</v>
      </c>
      <c r="B69" s="26">
        <f>+'Airtel-input'!B20/'Airtel-input'!B17</f>
        <v>8.7822461230771462E-2</v>
      </c>
      <c r="C69" s="26">
        <f>+'Airtel-input'!C20/'Airtel-input'!C17</f>
        <v>7.152957410022158E-2</v>
      </c>
      <c r="D69" s="26">
        <f>+'Airtel-input'!D20/'Airtel-input'!D17</f>
        <v>7.640860893092262E-2</v>
      </c>
      <c r="E69" s="26">
        <f>+'Airtel-input'!E20/'Airtel-input'!E17</f>
        <v>8.3595115127518785E-2</v>
      </c>
      <c r="F69" s="26">
        <f>+'Airtel-input'!F20/'Airtel-input'!F17</f>
        <v>9.9573905486740569E-2</v>
      </c>
      <c r="G69" s="26">
        <f>+'Airtel-input'!G20/'Airtel-input'!G17</f>
        <v>0.10423811101337689</v>
      </c>
      <c r="H69" s="26">
        <f>+'Airtel-input'!H20/'Airtel-input'!H17</f>
        <v>9.1675462501913219E-2</v>
      </c>
      <c r="I69" s="26">
        <f>+'Airtel-input'!I20/'Airtel-input'!I17</f>
        <v>9.0004967957105678E-2</v>
      </c>
      <c r="J69" s="26">
        <f>+'Airtel-input'!J20/'Airtel-input'!J17</f>
        <v>9.4061725626829046E-2</v>
      </c>
      <c r="K69" s="26">
        <f>+'Airtel-input'!K20/'Airtel-input'!K17</f>
        <v>8.4255886023960141E-2</v>
      </c>
      <c r="L69" s="22">
        <f>AVERAGE(B69:K69)</f>
        <v>8.8316581799935984E-2</v>
      </c>
    </row>
    <row r="70" spans="1:18" x14ac:dyDescent="0.3">
      <c r="A70" t="s">
        <v>132</v>
      </c>
      <c r="B70" s="26">
        <f>+'Airtel-input'!B22/'Airtel-input'!B17</f>
        <v>5.0540734874980099E-2</v>
      </c>
      <c r="C70" s="26">
        <f>+'Airtel-input'!C22/'Airtel-input'!C17</f>
        <v>5.0872196916880497E-2</v>
      </c>
      <c r="D70" s="26">
        <f>+'Airtel-input'!D22/'Airtel-input'!D17</f>
        <v>4.507464781503389E-2</v>
      </c>
      <c r="E70" s="26">
        <f>+'Airtel-input'!E22/'Airtel-input'!E17</f>
        <v>4.8126303866948696E-2</v>
      </c>
      <c r="F70" s="26">
        <f>+'Airtel-input'!F22/'Airtel-input'!F17</f>
        <v>4.7010282222623864E-2</v>
      </c>
      <c r="G70" s="26">
        <f>+'Airtel-input'!G22/'Airtel-input'!G17</f>
        <v>4.3491472372314051E-2</v>
      </c>
      <c r="H70" s="26">
        <f>+'Airtel-input'!H22/'Airtel-input'!H17</f>
        <v>4.0894173678487876E-2</v>
      </c>
      <c r="I70" s="26">
        <f>+'Airtel-input'!I22/'Airtel-input'!I17</f>
        <v>3.8038763793803186E-2</v>
      </c>
      <c r="J70" s="26">
        <f>+'Airtel-input'!J22/'Airtel-input'!J17</f>
        <v>3.4717790388142426E-2</v>
      </c>
      <c r="K70" s="26">
        <f>+'Airtel-input'!K22/'Airtel-input'!K17</f>
        <v>3.5491497669059839E-2</v>
      </c>
      <c r="L70" s="22">
        <f t="shared" ref="L70:L73" si="17">AVERAGE(B70:K70)</f>
        <v>4.342578635982744E-2</v>
      </c>
    </row>
    <row r="71" spans="1:18" x14ac:dyDescent="0.3">
      <c r="A71" t="s">
        <v>133</v>
      </c>
      <c r="B71" s="26">
        <f>+'Airtel-input'!B23/'Airtel-input'!B17</f>
        <v>0.17127450684542359</v>
      </c>
      <c r="C71" s="26">
        <f>+'Airtel-input'!C23/'Airtel-input'!C17</f>
        <v>0.10627345722303772</v>
      </c>
      <c r="D71" s="26">
        <f>+'Airtel-input'!D23/'Airtel-input'!D17</f>
        <v>9.0362979125007972E-2</v>
      </c>
      <c r="E71" s="26">
        <f>+'Airtel-input'!E23/'Airtel-input'!E17</f>
        <v>7.2884649825505701E-2</v>
      </c>
      <c r="F71" s="26">
        <f>+'Airtel-input'!F23/'Airtel-input'!F17</f>
        <v>6.6076835660223668E-2</v>
      </c>
      <c r="G71" s="26">
        <f>+'Airtel-input'!G23/'Airtel-input'!G17</f>
        <v>5.3041501502187595E-2</v>
      </c>
      <c r="H71" s="26">
        <f>+'Airtel-input'!H23/'Airtel-input'!H17</f>
        <v>4.7584971744000448E-2</v>
      </c>
      <c r="I71" s="26">
        <f>+'Airtel-input'!I23/'Airtel-input'!I17</f>
        <v>5.5030206723645163E-2</v>
      </c>
      <c r="J71" s="26">
        <f>+'Airtel-input'!J23/'Airtel-input'!J17</f>
        <v>6.1757248564085772E-2</v>
      </c>
      <c r="K71" s="26">
        <f>+'Airtel-input'!K23/'Airtel-input'!K17</f>
        <v>6.4248205122734409E-2</v>
      </c>
      <c r="L71" s="22">
        <f t="shared" si="17"/>
        <v>7.8853456233585195E-2</v>
      </c>
    </row>
    <row r="72" spans="1:18" x14ac:dyDescent="0.3">
      <c r="A72" t="s">
        <v>134</v>
      </c>
      <c r="B72" s="26">
        <f>+'Airtel-input'!B21/'Airtel-input'!B17</f>
        <v>0.32190816508100356</v>
      </c>
      <c r="C72" s="26">
        <f>+'Airtel-input'!C21/'Airtel-input'!C17</f>
        <v>0.35524141710374058</v>
      </c>
      <c r="D72" s="26">
        <f>+'Airtel-input'!D21/'Airtel-input'!D17</f>
        <v>0.35700541436267325</v>
      </c>
      <c r="E72" s="26">
        <f>+'Airtel-input'!E21/'Airtel-input'!E17</f>
        <v>0.36839353911237815</v>
      </c>
      <c r="F72" s="26">
        <f>+'Airtel-input'!F21/'Airtel-input'!F17</f>
        <v>0.39427731052906528</v>
      </c>
      <c r="G72" s="26">
        <f>+'Airtel-input'!G21/'Airtel-input'!G17</f>
        <v>0.34196301077234148</v>
      </c>
      <c r="H72" s="26">
        <f>+'Airtel-input'!H21/'Airtel-input'!H17</f>
        <v>0.34731622667612838</v>
      </c>
      <c r="I72" s="26">
        <f>+'Airtel-input'!I21/'Airtel-input'!I17</f>
        <v>0.30579792341109036</v>
      </c>
      <c r="J72" s="26">
        <f>+'Airtel-input'!J21/'Airtel-input'!J17</f>
        <v>0.25029681310404706</v>
      </c>
      <c r="K72" s="26">
        <f>+'Airtel-input'!K21/'Airtel-input'!K17</f>
        <v>0.24627022904020737</v>
      </c>
      <c r="L72" s="22">
        <f t="shared" si="17"/>
        <v>0.32884700491926749</v>
      </c>
    </row>
    <row r="73" spans="1:18" x14ac:dyDescent="0.3">
      <c r="A73" t="s">
        <v>55</v>
      </c>
      <c r="B73" s="26">
        <f>+'Airtel-input'!B24/'Airtel-input'!B17</f>
        <v>1.5890623065180586E-2</v>
      </c>
      <c r="C73" s="26">
        <f>+'Airtel-input'!C24/'Airtel-input'!C17</f>
        <v>6.4032586051686421E-2</v>
      </c>
      <c r="D73" s="26">
        <f>+'Airtel-input'!D24/'Airtel-input'!D17</f>
        <v>6.1079960573300243E-2</v>
      </c>
      <c r="E73" s="26">
        <f>+'Airtel-input'!E24/'Airtel-input'!E17</f>
        <v>6.3017614002139427E-2</v>
      </c>
      <c r="F73" s="26">
        <f>+'Airtel-input'!F24/'Airtel-input'!F17</f>
        <v>7.4124599840059827E-2</v>
      </c>
      <c r="G73" s="26">
        <f>+'Airtel-input'!G24/'Airtel-input'!G17</f>
        <v>3.9058019854007926E-2</v>
      </c>
      <c r="H73" s="26">
        <f>+'Airtel-input'!H24/'Airtel-input'!H17</f>
        <v>2.2511374953039183E-2</v>
      </c>
      <c r="I73" s="26">
        <f>+'Airtel-input'!I24/'Airtel-input'!I17</f>
        <v>1.7473652237854461E-2</v>
      </c>
      <c r="J73" s="26">
        <f>+'Airtel-input'!J24/'Airtel-input'!J17</f>
        <v>4.694102833882402E-2</v>
      </c>
      <c r="K73" s="26">
        <f>+'Airtel-input'!K24/'Airtel-input'!K17</f>
        <v>4.7727600038404511E-2</v>
      </c>
      <c r="L73" s="22">
        <f t="shared" si="17"/>
        <v>4.5185705895449658E-2</v>
      </c>
    </row>
    <row r="74" spans="1:18" x14ac:dyDescent="0.3">
      <c r="L74" s="2" t="s">
        <v>135</v>
      </c>
    </row>
    <row r="76" spans="1:18" x14ac:dyDescent="0.3">
      <c r="A76" s="97"/>
      <c r="B76" s="61">
        <f>B2</f>
        <v>42094</v>
      </c>
      <c r="C76" s="61">
        <f t="shared" ref="C76:K76" si="18">C2</f>
        <v>42460</v>
      </c>
      <c r="D76" s="61">
        <f t="shared" si="18"/>
        <v>42825</v>
      </c>
      <c r="E76" s="61">
        <f t="shared" si="18"/>
        <v>43190</v>
      </c>
      <c r="F76" s="61">
        <f t="shared" si="18"/>
        <v>43555</v>
      </c>
      <c r="G76" s="61">
        <f t="shared" si="18"/>
        <v>43921</v>
      </c>
      <c r="H76" s="61">
        <f t="shared" si="18"/>
        <v>44286</v>
      </c>
      <c r="I76" s="61">
        <f t="shared" si="18"/>
        <v>44651</v>
      </c>
      <c r="J76" s="61">
        <f t="shared" si="18"/>
        <v>45016</v>
      </c>
      <c r="K76" s="61">
        <f t="shared" si="18"/>
        <v>45382</v>
      </c>
      <c r="L76" s="6">
        <v>45747</v>
      </c>
      <c r="M76" s="6">
        <v>46112</v>
      </c>
      <c r="N76" s="6">
        <v>46477</v>
      </c>
      <c r="O76" s="6">
        <v>46843</v>
      </c>
      <c r="P76" s="6">
        <v>47208</v>
      </c>
      <c r="Q76" s="6">
        <v>47573</v>
      </c>
    </row>
    <row r="77" spans="1:18" x14ac:dyDescent="0.3">
      <c r="A77" s="110" t="s">
        <v>140</v>
      </c>
      <c r="B77" s="57">
        <f>B3+B6</f>
        <v>97343.3</v>
      </c>
      <c r="C77" s="57">
        <f t="shared" ref="C77:K77" si="19">C3+C6</f>
        <v>101390.1</v>
      </c>
      <c r="D77" s="57">
        <f t="shared" si="19"/>
        <v>97181.400000000009</v>
      </c>
      <c r="E77" s="57">
        <f t="shared" si="19"/>
        <v>84395.3</v>
      </c>
      <c r="F77" s="57">
        <f t="shared" si="19"/>
        <v>85254.3</v>
      </c>
      <c r="G77" s="57">
        <f t="shared" si="19"/>
        <v>49764.4</v>
      </c>
      <c r="H77" s="57">
        <f t="shared" si="19"/>
        <v>96400.8</v>
      </c>
      <c r="I77" s="57">
        <f t="shared" si="19"/>
        <v>121203</v>
      </c>
      <c r="J77" s="57">
        <f t="shared" si="19"/>
        <v>140163.69999999998</v>
      </c>
      <c r="K77" s="57">
        <f t="shared" si="19"/>
        <v>146554.9</v>
      </c>
      <c r="L77" s="12">
        <f>K77*(1+$R$78)</f>
        <v>183193.625</v>
      </c>
      <c r="M77" s="12">
        <f t="shared" ref="M77:Q77" si="20">L77*(1+$R$78)</f>
        <v>228992.03125</v>
      </c>
      <c r="N77" s="12">
        <f t="shared" si="20"/>
        <v>286240.0390625</v>
      </c>
      <c r="O77" s="12">
        <f t="shared" si="20"/>
        <v>357800.048828125</v>
      </c>
      <c r="P77" s="12">
        <f t="shared" si="20"/>
        <v>447250.06103515625</v>
      </c>
      <c r="Q77" s="12">
        <f t="shared" si="20"/>
        <v>559062.57629394531</v>
      </c>
    </row>
    <row r="78" spans="1:18" x14ac:dyDescent="0.3">
      <c r="A78" s="110" t="s">
        <v>237</v>
      </c>
      <c r="B78" s="57"/>
      <c r="C78" s="60">
        <f>C77/B77-1</f>
        <v>4.1572455423228849E-2</v>
      </c>
      <c r="D78" s="60">
        <f t="shared" ref="D78:K78" si="21">D77/C77-1</f>
        <v>-4.1509969908304578E-2</v>
      </c>
      <c r="E78" s="60">
        <f t="shared" si="21"/>
        <v>-0.1315694155465964</v>
      </c>
      <c r="F78" s="60">
        <f t="shared" si="21"/>
        <v>1.0178291919099802E-2</v>
      </c>
      <c r="G78" s="60">
        <f t="shared" si="21"/>
        <v>-0.41628281506035469</v>
      </c>
      <c r="H78" s="60">
        <f t="shared" si="21"/>
        <v>0.93714382168779298</v>
      </c>
      <c r="I78" s="60">
        <f t="shared" si="21"/>
        <v>0.25728209724400619</v>
      </c>
      <c r="J78" s="60">
        <f t="shared" si="21"/>
        <v>0.15643754692540601</v>
      </c>
      <c r="K78" s="60">
        <f t="shared" si="21"/>
        <v>4.5598111351227155E-2</v>
      </c>
      <c r="L78" s="12"/>
      <c r="M78" s="12"/>
      <c r="N78" s="12"/>
      <c r="O78" s="12"/>
      <c r="P78" s="12"/>
      <c r="Q78" s="12"/>
      <c r="R78" s="22">
        <v>0.25</v>
      </c>
    </row>
    <row r="79" spans="1:18" x14ac:dyDescent="0.3">
      <c r="A79" s="110" t="s">
        <v>141</v>
      </c>
      <c r="B79">
        <f>'Airtel-input'!B18+'Airtel-input'!B19+'Airtel-input'!B20+'Airtel-input'!B21</f>
        <v>40644.6</v>
      </c>
      <c r="C79">
        <f>'Airtel-input'!C18+'Airtel-input'!C19+'Airtel-input'!C20+'Airtel-input'!C21</f>
        <v>41197.1</v>
      </c>
      <c r="D79">
        <f>'Airtel-input'!D18+'Airtel-input'!D19+'Airtel-input'!D20+'Airtel-input'!D21</f>
        <v>41377.299999999996</v>
      </c>
      <c r="E79">
        <f>'Airtel-input'!E18+'Airtel-input'!E19+'Airtel-input'!E20+'Airtel-input'!E21</f>
        <v>37351.799999999996</v>
      </c>
      <c r="F79">
        <f>'Airtel-input'!F18+'Airtel-input'!F19+'Airtel-input'!F20+'Airtel-input'!F21</f>
        <v>39893.4</v>
      </c>
      <c r="G79">
        <f>'Airtel-input'!G18+'Airtel-input'!G19+'Airtel-input'!G20+'Airtel-input'!G21</f>
        <v>39060</v>
      </c>
      <c r="H79">
        <f>'Airtel-input'!H18+'Airtel-input'!H19+'Airtel-input'!H20+'Airtel-input'!H21</f>
        <v>44169.5</v>
      </c>
      <c r="I79">
        <f>'Airtel-input'!I18+'Airtel-input'!I19+'Airtel-input'!I20+'Airtel-input'!I21</f>
        <v>46129.600000000006</v>
      </c>
      <c r="J79">
        <f>'Airtel-input'!J18+'Airtel-input'!J19+'Airtel-input'!J20+'Airtel-input'!J21</f>
        <v>47915.7</v>
      </c>
      <c r="K79">
        <f>'Airtel-input'!K18+'Airtel-input'!K19+'Airtel-input'!K20+'Airtel-input'!K21</f>
        <v>49573.1</v>
      </c>
      <c r="L79" s="12">
        <f>L77*R80</f>
        <v>26837.278891620968</v>
      </c>
      <c r="M79" s="12">
        <f t="shared" ref="M79:Q79" si="22">M77*$R$80</f>
        <v>33546.598614526214</v>
      </c>
      <c r="N79" s="12">
        <f t="shared" si="22"/>
        <v>41933.24826815776</v>
      </c>
      <c r="O79" s="12">
        <f t="shared" si="22"/>
        <v>52416.560335197202</v>
      </c>
      <c r="P79" s="12">
        <f t="shared" si="22"/>
        <v>65520.700418996508</v>
      </c>
      <c r="Q79" s="12">
        <f t="shared" si="22"/>
        <v>81900.875523745635</v>
      </c>
    </row>
    <row r="80" spans="1:18" x14ac:dyDescent="0.3">
      <c r="A80" s="110" t="s">
        <v>171</v>
      </c>
      <c r="B80" s="60">
        <f>B79/'Airtel-input'!B66</f>
        <v>0.22339685279132016</v>
      </c>
      <c r="C80" s="60">
        <f>C79/'Airtel-input'!C66</f>
        <v>0.18352890338215902</v>
      </c>
      <c r="D80" s="60">
        <f>D79/'Airtel-input'!D66</f>
        <v>0.17810300603945467</v>
      </c>
      <c r="E80" s="60">
        <f>E79/'Airtel-input'!E66</f>
        <v>0.14969401373030725</v>
      </c>
      <c r="F80" s="60">
        <f>F79/'Airtel-input'!F66</f>
        <v>0.1455823765821018</v>
      </c>
      <c r="G80" s="60">
        <f>G79/'Airtel-input'!G66</f>
        <v>0.10877456513148606</v>
      </c>
      <c r="H80" s="60">
        <f>H79/'Airtel-input'!H66</f>
        <v>0.12824421319382806</v>
      </c>
      <c r="I80" s="60">
        <f>I79/'Airtel-input'!I66</f>
        <v>0.12770952517004092</v>
      </c>
      <c r="J80" s="60">
        <f>J79/'Airtel-input'!J66</f>
        <v>0.10778302894791893</v>
      </c>
      <c r="K80" s="60">
        <f>K79/'Airtel-input'!K66</f>
        <v>0.11215146310386516</v>
      </c>
      <c r="L80" s="60">
        <f t="shared" ref="L80:Q80" si="23">L79/L77</f>
        <v>0.14649679480724817</v>
      </c>
      <c r="M80" s="60">
        <f t="shared" si="23"/>
        <v>0.1464967948072482</v>
      </c>
      <c r="N80" s="60">
        <f t="shared" si="23"/>
        <v>0.14649679480724817</v>
      </c>
      <c r="O80" s="60">
        <f t="shared" si="23"/>
        <v>0.14649679480724817</v>
      </c>
      <c r="P80" s="60">
        <f t="shared" si="23"/>
        <v>0.14649679480724817</v>
      </c>
      <c r="Q80" s="60">
        <f t="shared" si="23"/>
        <v>0.14649679480724817</v>
      </c>
      <c r="R80" s="22">
        <f>AVERAGE(B80:K80)</f>
        <v>0.14649679480724817</v>
      </c>
    </row>
    <row r="81" spans="1:18" x14ac:dyDescent="0.3">
      <c r="A81" s="112" t="s">
        <v>142</v>
      </c>
      <c r="B81" s="57">
        <f>B77-B79</f>
        <v>56698.700000000004</v>
      </c>
      <c r="C81" s="57">
        <f t="shared" ref="C81:K81" si="24">C77-C79</f>
        <v>60193.000000000007</v>
      </c>
      <c r="D81" s="57">
        <f t="shared" si="24"/>
        <v>55804.100000000013</v>
      </c>
      <c r="E81" s="57">
        <f t="shared" si="24"/>
        <v>47043.500000000007</v>
      </c>
      <c r="F81" s="57">
        <f t="shared" si="24"/>
        <v>45360.9</v>
      </c>
      <c r="G81" s="57">
        <f t="shared" si="24"/>
        <v>10704.400000000001</v>
      </c>
      <c r="H81" s="57">
        <f t="shared" si="24"/>
        <v>52231.3</v>
      </c>
      <c r="I81" s="57">
        <f t="shared" si="24"/>
        <v>75073.399999999994</v>
      </c>
      <c r="J81" s="57">
        <f t="shared" si="24"/>
        <v>92247.999999999985</v>
      </c>
      <c r="K81" s="57">
        <f t="shared" si="24"/>
        <v>96981.799999999988</v>
      </c>
      <c r="L81" s="12">
        <f>L77-L79</f>
        <v>156356.34610837902</v>
      </c>
      <c r="M81" s="12">
        <f t="shared" ref="M81:Q81" si="25">M77-M79</f>
        <v>195445.43263547379</v>
      </c>
      <c r="N81" s="12">
        <f t="shared" si="25"/>
        <v>244306.79079434223</v>
      </c>
      <c r="O81" s="12">
        <f t="shared" si="25"/>
        <v>305383.48849292781</v>
      </c>
      <c r="P81" s="12">
        <f t="shared" si="25"/>
        <v>381729.36061615974</v>
      </c>
      <c r="Q81" s="12">
        <f t="shared" si="25"/>
        <v>477161.70077019965</v>
      </c>
    </row>
    <row r="82" spans="1:18" x14ac:dyDescent="0.3">
      <c r="A82" s="110" t="s">
        <v>143</v>
      </c>
      <c r="B82">
        <f>'Airtel-input'!B22+'Airtel-input'!B23+'Airtel-input'!B24</f>
        <v>22843.699999999997</v>
      </c>
      <c r="C82">
        <f>'Airtel-input'!C22+'Airtel-input'!C23+'Airtel-input'!C24</f>
        <v>21350.799999999999</v>
      </c>
      <c r="D82">
        <f>'Airtel-input'!D22+'Airtel-input'!D23+'Airtel-input'!D24</f>
        <v>18761.2</v>
      </c>
      <c r="E82">
        <f>'Airtel-input'!E22+'Airtel-input'!E23+'Airtel-input'!E24</f>
        <v>15207.900000000001</v>
      </c>
      <c r="F82">
        <f>'Airtel-input'!F22+'Airtel-input'!F23+'Airtel-input'!F24</f>
        <v>15123</v>
      </c>
      <c r="G82">
        <f>'Airtel-input'!G22+'Airtel-input'!G23+'Airtel-input'!G24</f>
        <v>11869.5</v>
      </c>
      <c r="H82">
        <f>'Airtel-input'!H22+'Airtel-input'!H23+'Airtel-input'!H24</f>
        <v>11167.400000000001</v>
      </c>
      <c r="I82">
        <f>'Airtel-input'!I22+'Airtel-input'!I23+'Airtel-input'!I24</f>
        <v>12883.400000000001</v>
      </c>
      <c r="J82">
        <f>'Airtel-input'!J22+'Airtel-input'!J23+'Airtel-input'!J24</f>
        <v>19955.599999999999</v>
      </c>
      <c r="K82">
        <f>'Airtel-input'!K22+'Airtel-input'!K23+'Airtel-input'!K24</f>
        <v>22117.5</v>
      </c>
      <c r="L82" s="12">
        <f>L77*$R$83</f>
        <v>32055.844065469824</v>
      </c>
      <c r="M82" s="12">
        <f t="shared" ref="M82:Q82" si="26">M77*$R$83</f>
        <v>40069.805081837279</v>
      </c>
      <c r="N82" s="12">
        <f t="shared" si="26"/>
        <v>50087.256352296601</v>
      </c>
      <c r="O82" s="12">
        <f t="shared" si="26"/>
        <v>62609.07044037075</v>
      </c>
      <c r="P82" s="12">
        <f t="shared" si="26"/>
        <v>78261.338050463441</v>
      </c>
      <c r="Q82" s="12">
        <f t="shared" si="26"/>
        <v>97826.672563079293</v>
      </c>
      <c r="R82" s="22"/>
    </row>
    <row r="83" spans="1:18" x14ac:dyDescent="0.3">
      <c r="A83" s="110" t="s">
        <v>172</v>
      </c>
      <c r="B83" s="60">
        <f>B82/B77</f>
        <v>0.23467151822467491</v>
      </c>
      <c r="C83" s="60">
        <f t="shared" ref="C83:K83" si="27">C82/C77</f>
        <v>0.2105807174467724</v>
      </c>
      <c r="D83" s="60">
        <f t="shared" si="27"/>
        <v>0.19305340322325054</v>
      </c>
      <c r="E83" s="60">
        <f t="shared" si="27"/>
        <v>0.18019842337191763</v>
      </c>
      <c r="F83" s="60">
        <f t="shared" si="27"/>
        <v>0.17738694705135108</v>
      </c>
      <c r="G83" s="60">
        <f t="shared" si="27"/>
        <v>0.23851387739026292</v>
      </c>
      <c r="H83" s="60">
        <f t="shared" si="27"/>
        <v>0.11584343698392546</v>
      </c>
      <c r="I83" s="60">
        <f t="shared" si="27"/>
        <v>0.10629604877767053</v>
      </c>
      <c r="J83" s="60">
        <f t="shared" si="27"/>
        <v>0.1423735246715091</v>
      </c>
      <c r="K83" s="60">
        <f t="shared" si="27"/>
        <v>0.15091614132314921</v>
      </c>
      <c r="L83" s="60"/>
      <c r="R83" s="22">
        <f>AVERAGE(B83:L83)</f>
        <v>0.17498340384644839</v>
      </c>
    </row>
    <row r="84" spans="1:18" x14ac:dyDescent="0.3">
      <c r="A84" s="110" t="s">
        <v>144</v>
      </c>
      <c r="B84" s="57">
        <f>B81-B82</f>
        <v>33855.000000000007</v>
      </c>
      <c r="C84" s="57">
        <f t="shared" ref="C84:K84" si="28">C81-C82</f>
        <v>38842.200000000012</v>
      </c>
      <c r="D84" s="57">
        <f t="shared" si="28"/>
        <v>37042.900000000009</v>
      </c>
      <c r="E84" s="57">
        <f t="shared" si="28"/>
        <v>31835.600000000006</v>
      </c>
      <c r="F84" s="57">
        <f t="shared" si="28"/>
        <v>30237.9</v>
      </c>
      <c r="G84" s="57">
        <f t="shared" si="28"/>
        <v>-1165.0999999999985</v>
      </c>
      <c r="H84" s="57">
        <f t="shared" si="28"/>
        <v>41063.9</v>
      </c>
      <c r="I84" s="57">
        <f t="shared" si="28"/>
        <v>62189.999999999993</v>
      </c>
      <c r="J84" s="57">
        <f t="shared" si="28"/>
        <v>72292.399999999994</v>
      </c>
      <c r="K84" s="57">
        <f t="shared" si="28"/>
        <v>74864.299999999988</v>
      </c>
      <c r="L84" s="12">
        <f>L81-L82</f>
        <v>124300.5020429092</v>
      </c>
      <c r="M84" s="12">
        <f t="shared" ref="M84:Q84" si="29">M81-M82</f>
        <v>155375.6275536365</v>
      </c>
      <c r="N84" s="12">
        <f t="shared" si="29"/>
        <v>194219.53444204564</v>
      </c>
      <c r="O84" s="12">
        <f t="shared" si="29"/>
        <v>242774.41805255704</v>
      </c>
      <c r="P84" s="12">
        <f t="shared" si="29"/>
        <v>303468.02256569627</v>
      </c>
      <c r="Q84" s="12">
        <f t="shared" si="29"/>
        <v>379335.02820712037</v>
      </c>
    </row>
    <row r="85" spans="1:18" x14ac:dyDescent="0.3">
      <c r="A85" s="110" t="s">
        <v>243</v>
      </c>
      <c r="B85" s="60">
        <f>B84/B77</f>
        <v>0.34778972975027561</v>
      </c>
      <c r="C85" s="60">
        <f t="shared" ref="C85:K85" si="30">C84/C77</f>
        <v>0.38309657451763052</v>
      </c>
      <c r="D85" s="60">
        <f t="shared" si="30"/>
        <v>0.38117273470026164</v>
      </c>
      <c r="E85" s="60">
        <f t="shared" si="30"/>
        <v>0.37722005846297135</v>
      </c>
      <c r="F85" s="60">
        <f t="shared" si="30"/>
        <v>0.35467888423223226</v>
      </c>
      <c r="G85" s="60">
        <f t="shared" si="30"/>
        <v>-2.3412318846404226E-2</v>
      </c>
      <c r="H85" s="60">
        <f t="shared" si="30"/>
        <v>0.42597053136488494</v>
      </c>
      <c r="I85" s="60">
        <f t="shared" si="30"/>
        <v>0.51310611123487038</v>
      </c>
      <c r="J85" s="60">
        <f t="shared" si="30"/>
        <v>0.51577120181616209</v>
      </c>
      <c r="K85" s="60">
        <f t="shared" si="30"/>
        <v>0.51082768300479886</v>
      </c>
      <c r="L85" s="60">
        <f t="shared" ref="L85" si="31">L84/L77</f>
        <v>0.67851980134630341</v>
      </c>
      <c r="M85" s="60">
        <f t="shared" ref="M85" si="32">M84/M77</f>
        <v>0.67851980134630341</v>
      </c>
      <c r="N85" s="60">
        <f t="shared" ref="N85" si="33">N84/N77</f>
        <v>0.67851980134630341</v>
      </c>
      <c r="O85" s="60">
        <f t="shared" ref="O85" si="34">O84/O77</f>
        <v>0.67851980134630341</v>
      </c>
      <c r="P85" s="60">
        <f t="shared" ref="P85" si="35">P84/P77</f>
        <v>0.67851980134630341</v>
      </c>
      <c r="Q85" s="60">
        <f t="shared" ref="Q85" si="36">Q84/Q77</f>
        <v>0.67851980134630341</v>
      </c>
    </row>
    <row r="86" spans="1:18" x14ac:dyDescent="0.3">
      <c r="A86" s="110" t="s">
        <v>145</v>
      </c>
      <c r="B86" s="23">
        <f>B9</f>
        <v>19858.3</v>
      </c>
      <c r="C86" s="23">
        <f t="shared" ref="C86:K86" si="37">C9</f>
        <v>17449.8</v>
      </c>
      <c r="D86" s="23">
        <f t="shared" si="37"/>
        <v>19773</v>
      </c>
      <c r="E86" s="23">
        <f t="shared" si="37"/>
        <v>19243.099999999999</v>
      </c>
      <c r="F86" s="23">
        <f t="shared" si="37"/>
        <v>21347.5</v>
      </c>
      <c r="G86" s="23">
        <f t="shared" si="37"/>
        <v>27689.599999999999</v>
      </c>
      <c r="H86" s="23">
        <f t="shared" si="37"/>
        <v>29404.400000000001</v>
      </c>
      <c r="I86" s="23">
        <f t="shared" si="37"/>
        <v>33090.699999999997</v>
      </c>
      <c r="J86" s="23">
        <f t="shared" si="37"/>
        <v>36431.800000000003</v>
      </c>
      <c r="K86" s="23">
        <f t="shared" si="37"/>
        <v>39537.599999999999</v>
      </c>
      <c r="L86" s="12">
        <f>L77*$R$87</f>
        <v>49867.886961728123</v>
      </c>
      <c r="M86" s="12">
        <f t="shared" ref="M86:Q86" si="38">M77*$R$87</f>
        <v>62334.858702160156</v>
      </c>
      <c r="N86" s="12">
        <f t="shared" si="38"/>
        <v>77918.573377700202</v>
      </c>
      <c r="O86" s="12">
        <f t="shared" si="38"/>
        <v>97398.216722125246</v>
      </c>
      <c r="P86" s="12">
        <f t="shared" si="38"/>
        <v>121747.77090265656</v>
      </c>
      <c r="Q86" s="12">
        <f t="shared" si="38"/>
        <v>152184.71362832069</v>
      </c>
    </row>
    <row r="87" spans="1:18" x14ac:dyDescent="0.3">
      <c r="A87" s="110" t="s">
        <v>241</v>
      </c>
      <c r="B87" s="60">
        <f>B86/B77</f>
        <v>0.20400274081523842</v>
      </c>
      <c r="C87" s="60">
        <f t="shared" ref="C87:K87" si="39">C86/C77</f>
        <v>0.17210556060207061</v>
      </c>
      <c r="D87" s="60">
        <f t="shared" si="39"/>
        <v>0.20346486055973673</v>
      </c>
      <c r="E87" s="60">
        <f t="shared" si="39"/>
        <v>0.22801151248943954</v>
      </c>
      <c r="F87" s="60">
        <f t="shared" si="39"/>
        <v>0.25039792714267783</v>
      </c>
      <c r="G87" s="60">
        <f t="shared" si="39"/>
        <v>0.55641382192892908</v>
      </c>
      <c r="H87" s="60">
        <f t="shared" si="39"/>
        <v>0.30502236495962692</v>
      </c>
      <c r="I87" s="60">
        <f t="shared" si="39"/>
        <v>0.27301881966617986</v>
      </c>
      <c r="J87" s="60">
        <f t="shared" si="39"/>
        <v>0.25992321835111376</v>
      </c>
      <c r="K87" s="60">
        <f t="shared" si="39"/>
        <v>0.26978013017647312</v>
      </c>
      <c r="R87" s="22">
        <f>AVERAGE(B87:K87)</f>
        <v>0.27221409566914856</v>
      </c>
    </row>
    <row r="88" spans="1:18" x14ac:dyDescent="0.3">
      <c r="A88" s="111" t="s">
        <v>146</v>
      </c>
      <c r="B88" s="57">
        <f>B84-B86</f>
        <v>13996.700000000008</v>
      </c>
      <c r="C88" s="57">
        <f t="shared" ref="C88:K88" si="40">C84-C86</f>
        <v>21392.400000000012</v>
      </c>
      <c r="D88" s="57">
        <f t="shared" si="40"/>
        <v>17269.900000000009</v>
      </c>
      <c r="E88" s="57">
        <f t="shared" si="40"/>
        <v>12592.500000000007</v>
      </c>
      <c r="F88" s="57">
        <f t="shared" si="40"/>
        <v>8890.4000000000015</v>
      </c>
      <c r="G88" s="57">
        <f t="shared" si="40"/>
        <v>-28854.699999999997</v>
      </c>
      <c r="H88" s="57">
        <f t="shared" si="40"/>
        <v>11659.5</v>
      </c>
      <c r="I88" s="57">
        <f t="shared" si="40"/>
        <v>29099.299999999996</v>
      </c>
      <c r="J88" s="57">
        <f t="shared" si="40"/>
        <v>35860.599999999991</v>
      </c>
      <c r="K88" s="57">
        <f t="shared" si="40"/>
        <v>35326.69999999999</v>
      </c>
      <c r="L88" s="12">
        <f>L84-L86</f>
        <v>74432.61508118108</v>
      </c>
      <c r="M88" s="12">
        <f t="shared" ref="M88:Q88" si="41">M84-M86</f>
        <v>93040.768851476343</v>
      </c>
      <c r="N88" s="12">
        <f t="shared" si="41"/>
        <v>116300.96106434544</v>
      </c>
      <c r="O88" s="12">
        <f t="shared" si="41"/>
        <v>145376.2013304318</v>
      </c>
      <c r="P88" s="12">
        <f t="shared" si="41"/>
        <v>181720.25166303973</v>
      </c>
      <c r="Q88" s="12">
        <f t="shared" si="41"/>
        <v>227150.31457879968</v>
      </c>
    </row>
    <row r="89" spans="1:18" x14ac:dyDescent="0.3">
      <c r="A89" s="110" t="s">
        <v>147</v>
      </c>
      <c r="B89" s="23">
        <f t="shared" ref="B89:K89" si="42">B8</f>
        <v>4446.5</v>
      </c>
      <c r="C89" s="23">
        <f t="shared" si="42"/>
        <v>8546.1</v>
      </c>
      <c r="D89" s="23">
        <f t="shared" si="42"/>
        <v>9546.6</v>
      </c>
      <c r="E89" s="23">
        <f t="shared" si="42"/>
        <v>9325.5</v>
      </c>
      <c r="F89" s="23">
        <f t="shared" si="42"/>
        <v>10622.2</v>
      </c>
      <c r="G89" s="23">
        <f t="shared" si="42"/>
        <v>13991.8</v>
      </c>
      <c r="H89" s="23">
        <f t="shared" si="42"/>
        <v>15091</v>
      </c>
      <c r="I89" s="23">
        <f t="shared" si="42"/>
        <v>16616.2</v>
      </c>
      <c r="J89" s="23">
        <f t="shared" si="42"/>
        <v>19299.900000000001</v>
      </c>
      <c r="K89" s="23">
        <f t="shared" si="42"/>
        <v>22647.7</v>
      </c>
      <c r="L89" s="12">
        <f>L77*$R$90</f>
        <v>15958.250642338073</v>
      </c>
      <c r="M89" s="12">
        <f t="shared" ref="M89:Q89" si="43">M77*$R$90</f>
        <v>19947.81330292259</v>
      </c>
      <c r="N89" s="12">
        <f t="shared" si="43"/>
        <v>24934.766628653237</v>
      </c>
      <c r="O89" s="12">
        <f t="shared" si="43"/>
        <v>31168.458285816549</v>
      </c>
      <c r="P89" s="12">
        <f t="shared" si="43"/>
        <v>38960.572857270687</v>
      </c>
      <c r="Q89" s="12">
        <f t="shared" si="43"/>
        <v>48700.716071588358</v>
      </c>
    </row>
    <row r="90" spans="1:18" x14ac:dyDescent="0.3">
      <c r="A90" s="110" t="s">
        <v>238</v>
      </c>
      <c r="B90" s="60">
        <f>B89/B18</f>
        <v>5.3305696450642627E-2</v>
      </c>
      <c r="C90" s="60">
        <f t="shared" ref="C90:K90" si="44">C89/C18</f>
        <v>8.4912043637881102E-2</v>
      </c>
      <c r="D90" s="60">
        <f t="shared" si="44"/>
        <v>8.8981392071404333E-2</v>
      </c>
      <c r="E90" s="60">
        <f t="shared" si="44"/>
        <v>8.3761850655912198E-2</v>
      </c>
      <c r="F90" s="60">
        <f t="shared" si="44"/>
        <v>8.4687427000126769E-2</v>
      </c>
      <c r="G90" s="60">
        <f t="shared" si="44"/>
        <v>9.4393708075594301E-2</v>
      </c>
      <c r="H90" s="60">
        <f t="shared" si="44"/>
        <v>9.2704987922734988E-2</v>
      </c>
      <c r="I90" s="60">
        <f t="shared" si="44"/>
        <v>9.7927897504624953E-2</v>
      </c>
      <c r="J90" s="60">
        <f t="shared" si="44"/>
        <v>8.539011761332943E-2</v>
      </c>
      <c r="K90" s="60">
        <f t="shared" si="44"/>
        <v>0.10504874246436446</v>
      </c>
      <c r="R90" s="22">
        <f>AVERAGE(B90:K90)</f>
        <v>8.7111386339661506E-2</v>
      </c>
    </row>
    <row r="91" spans="1:18" x14ac:dyDescent="0.3">
      <c r="A91" s="110" t="s">
        <v>149</v>
      </c>
      <c r="B91" s="57">
        <f>B88-B89</f>
        <v>9550.200000000008</v>
      </c>
      <c r="C91" s="57">
        <f t="shared" ref="C91:K91" si="45">C88-C89</f>
        <v>12846.300000000012</v>
      </c>
      <c r="D91" s="57">
        <f t="shared" si="45"/>
        <v>7723.3000000000084</v>
      </c>
      <c r="E91" s="57">
        <f t="shared" si="45"/>
        <v>3267.0000000000073</v>
      </c>
      <c r="F91" s="57">
        <f t="shared" si="45"/>
        <v>-1731.7999999999993</v>
      </c>
      <c r="G91" s="57">
        <f t="shared" si="45"/>
        <v>-42846.5</v>
      </c>
      <c r="H91" s="57">
        <f t="shared" si="45"/>
        <v>-3431.5</v>
      </c>
      <c r="I91" s="57">
        <f t="shared" si="45"/>
        <v>12483.099999999995</v>
      </c>
      <c r="J91" s="57">
        <f t="shared" si="45"/>
        <v>16560.69999999999</v>
      </c>
      <c r="K91" s="57">
        <f t="shared" si="45"/>
        <v>12678.999999999989</v>
      </c>
      <c r="L91" s="12">
        <f>L88-L89</f>
        <v>58474.364438843011</v>
      </c>
      <c r="M91" s="12">
        <f t="shared" ref="M91:Q91" si="46">M88-M89</f>
        <v>73092.955548553757</v>
      </c>
      <c r="N91" s="12">
        <f t="shared" si="46"/>
        <v>91366.194435692203</v>
      </c>
      <c r="O91" s="12">
        <f t="shared" si="46"/>
        <v>114207.74304461524</v>
      </c>
      <c r="P91" s="12">
        <f t="shared" si="46"/>
        <v>142759.67880576904</v>
      </c>
      <c r="Q91" s="12">
        <f t="shared" si="46"/>
        <v>178449.59850721131</v>
      </c>
    </row>
    <row r="92" spans="1:18" x14ac:dyDescent="0.3">
      <c r="A92" s="110" t="s">
        <v>148</v>
      </c>
      <c r="B92" s="23">
        <f t="shared" ref="B92:K92" si="47">B11</f>
        <v>5486.7</v>
      </c>
      <c r="C92" s="23">
        <f t="shared" si="47"/>
        <v>5953.3</v>
      </c>
      <c r="D92" s="23">
        <f t="shared" si="47"/>
        <v>3481.9</v>
      </c>
      <c r="E92" s="23">
        <f t="shared" si="47"/>
        <v>1083.5</v>
      </c>
      <c r="F92" s="23">
        <f t="shared" si="47"/>
        <v>-3419.3</v>
      </c>
      <c r="G92" s="23">
        <f t="shared" si="47"/>
        <v>-12182.3</v>
      </c>
      <c r="H92" s="23">
        <f t="shared" si="47"/>
        <v>8932.5</v>
      </c>
      <c r="I92" s="23">
        <f t="shared" si="47"/>
        <v>4177.8999999999996</v>
      </c>
      <c r="J92" s="23">
        <f t="shared" si="47"/>
        <v>4273.3</v>
      </c>
      <c r="K92" s="23">
        <f t="shared" si="47"/>
        <v>4121</v>
      </c>
      <c r="L92" s="12">
        <f>L77*$R$93</f>
        <v>1183.0512421789469</v>
      </c>
      <c r="M92" s="12">
        <f t="shared" ref="M92:Q92" si="48">M77*$R$93</f>
        <v>1478.8140527236837</v>
      </c>
      <c r="N92" s="12">
        <f t="shared" si="48"/>
        <v>1848.5175659046047</v>
      </c>
      <c r="O92" s="12">
        <f t="shared" si="48"/>
        <v>2310.6469573807558</v>
      </c>
      <c r="P92" s="12">
        <f t="shared" si="48"/>
        <v>2888.3086967259446</v>
      </c>
      <c r="Q92" s="12">
        <f t="shared" si="48"/>
        <v>3610.3858709074311</v>
      </c>
    </row>
    <row r="93" spans="1:18" x14ac:dyDescent="0.3">
      <c r="A93" s="110" t="s">
        <v>175</v>
      </c>
      <c r="B93" s="60">
        <f>B92/B77</f>
        <v>5.6364433915842178E-2</v>
      </c>
      <c r="C93" s="60">
        <f t="shared" ref="C93:K93" si="49">C92/C77</f>
        <v>5.8716778068075681E-2</v>
      </c>
      <c r="D93" s="60">
        <f t="shared" si="49"/>
        <v>3.5828872603193611E-2</v>
      </c>
      <c r="E93" s="60">
        <f t="shared" si="49"/>
        <v>1.2838392659306856E-2</v>
      </c>
      <c r="F93" s="60">
        <f t="shared" si="49"/>
        <v>-4.0107067913290002E-2</v>
      </c>
      <c r="G93" s="60">
        <f t="shared" si="49"/>
        <v>-0.24479949522148362</v>
      </c>
      <c r="H93" s="60">
        <f t="shared" si="49"/>
        <v>9.2660019418925987E-2</v>
      </c>
      <c r="I93" s="60">
        <f t="shared" si="49"/>
        <v>3.4470268887733801E-2</v>
      </c>
      <c r="J93" s="60">
        <f t="shared" si="49"/>
        <v>3.0487922336525083E-2</v>
      </c>
      <c r="K93" s="60">
        <f t="shared" si="49"/>
        <v>2.8119155347245298E-2</v>
      </c>
      <c r="R93" s="22">
        <f>AVERAGE(B93:K93)</f>
        <v>6.4579280102074893E-3</v>
      </c>
    </row>
    <row r="94" spans="1:18" x14ac:dyDescent="0.3">
      <c r="A94" s="110" t="s">
        <v>150</v>
      </c>
      <c r="B94" s="57">
        <f>B91-B92</f>
        <v>4063.5000000000082</v>
      </c>
      <c r="C94" s="57">
        <f t="shared" ref="C94:K94" si="50">C91-C92</f>
        <v>6893.0000000000118</v>
      </c>
      <c r="D94" s="57">
        <f t="shared" si="50"/>
        <v>4241.4000000000087</v>
      </c>
      <c r="E94" s="57">
        <f t="shared" si="50"/>
        <v>2183.5000000000073</v>
      </c>
      <c r="F94" s="57">
        <f t="shared" si="50"/>
        <v>1687.5000000000009</v>
      </c>
      <c r="G94" s="57">
        <f t="shared" si="50"/>
        <v>-30664.2</v>
      </c>
      <c r="H94" s="57">
        <f t="shared" si="50"/>
        <v>-12364</v>
      </c>
      <c r="I94" s="57">
        <f t="shared" si="50"/>
        <v>8305.1999999999953</v>
      </c>
      <c r="J94" s="57">
        <f t="shared" si="50"/>
        <v>12287.399999999991</v>
      </c>
      <c r="K94" s="57">
        <f t="shared" si="50"/>
        <v>8557.9999999999891</v>
      </c>
      <c r="L94" s="12">
        <f>L91-L92</f>
        <v>57291.313196664065</v>
      </c>
      <c r="M94" s="12">
        <f t="shared" ref="M94:Q94" si="51">M91-M92</f>
        <v>71614.141495830074</v>
      </c>
      <c r="N94" s="12">
        <f t="shared" si="51"/>
        <v>89517.676869787596</v>
      </c>
      <c r="O94" s="12">
        <f t="shared" si="51"/>
        <v>111897.09608723449</v>
      </c>
      <c r="P94" s="12">
        <f t="shared" si="51"/>
        <v>139871.37010904308</v>
      </c>
      <c r="Q94" s="12">
        <f t="shared" si="51"/>
        <v>174839.21263630388</v>
      </c>
    </row>
    <row r="95" spans="1:18" x14ac:dyDescent="0.3">
      <c r="A95" s="110" t="s">
        <v>151</v>
      </c>
      <c r="B95" s="57">
        <f>'Airtel-input'!B82-Airtel!B16</f>
        <v>28059</v>
      </c>
      <c r="C95" s="57">
        <f>'Airtel-input'!C82-Airtel!C16</f>
        <v>-25808.899999999983</v>
      </c>
      <c r="D95" s="57">
        <f>'Airtel-input'!D82-Airtel!D16</f>
        <v>-2571.900000000016</v>
      </c>
      <c r="E95" s="57">
        <f>'Airtel-input'!E82-Airtel!E16</f>
        <v>2732.7000000000007</v>
      </c>
      <c r="F95" s="57">
        <f>'Airtel-input'!F82-Airtel!F16</f>
        <v>-14791.40000000002</v>
      </c>
      <c r="G95" s="57">
        <f>'Airtel-input'!G82-Airtel!G16</f>
        <v>-32632.999999999982</v>
      </c>
      <c r="H95" s="57">
        <f>'Airtel-input'!H82-Airtel!H16</f>
        <v>23132.299999999992</v>
      </c>
      <c r="I95" s="57">
        <f>'Airtel-input'!I82-Airtel!I16</f>
        <v>1094.0000000000073</v>
      </c>
      <c r="J95" s="57">
        <f>'Airtel-input'!J82-Airtel!J16</f>
        <v>-47888.400000000031</v>
      </c>
      <c r="K95" s="57">
        <f>'Airtel-input'!K82-Airtel!K16</f>
        <v>45972.600000000035</v>
      </c>
    </row>
    <row r="96" spans="1:18" x14ac:dyDescent="0.3">
      <c r="A96" s="128" t="s">
        <v>273</v>
      </c>
      <c r="B96" s="12">
        <f>B94/'Combined Entity '!$C$45</f>
        <v>7.1289473684210671</v>
      </c>
      <c r="C96" s="12">
        <f>C94/'Combined Entity '!$C$45</f>
        <v>12.092982456140371</v>
      </c>
      <c r="D96" s="12">
        <f>D94/'Combined Entity '!$C$45</f>
        <v>7.4410526315789625</v>
      </c>
      <c r="E96" s="12">
        <f>E94/'Combined Entity '!$C$45</f>
        <v>3.8307017543859776</v>
      </c>
      <c r="F96" s="12">
        <f>F94/'Combined Entity '!$C$45</f>
        <v>2.9605263157894752</v>
      </c>
      <c r="G96" s="12">
        <f>G94/'Combined Entity '!$C$45</f>
        <v>-53.79684210526316</v>
      </c>
      <c r="H96" s="12">
        <f>H94/'Combined Entity '!$C$45</f>
        <v>-21.691228070175438</v>
      </c>
      <c r="I96" s="12">
        <f>I94/'Combined Entity '!$C$45</f>
        <v>14.570526315789465</v>
      </c>
      <c r="J96" s="12">
        <f>J94/'Combined Entity '!$C$45</f>
        <v>21.55684210526314</v>
      </c>
      <c r="K96" s="12">
        <f>K94/'Combined Entity '!$C$45</f>
        <v>15.014035087719279</v>
      </c>
    </row>
    <row r="99" spans="1:17" x14ac:dyDescent="0.3">
      <c r="A99" s="64" t="s">
        <v>152</v>
      </c>
      <c r="B99" s="62"/>
    </row>
    <row r="100" spans="1:17" x14ac:dyDescent="0.3">
      <c r="A100" s="63" t="s">
        <v>153</v>
      </c>
      <c r="B100">
        <f>'Airtel-input'!B69</f>
        <v>2083.1</v>
      </c>
      <c r="C100">
        <f>'Airtel-input'!C69</f>
        <v>5098.7</v>
      </c>
      <c r="D100">
        <f>'Airtel-input'!D69</f>
        <v>5098.3</v>
      </c>
      <c r="E100">
        <f>'Airtel-input'!E69</f>
        <v>6670.6</v>
      </c>
      <c r="F100">
        <f>'Airtel-input'!F69</f>
        <v>8064</v>
      </c>
      <c r="G100">
        <f>'Airtel-input'!G69</f>
        <v>15892.7</v>
      </c>
      <c r="H100">
        <f>'Airtel-input'!H69</f>
        <v>13466.1</v>
      </c>
      <c r="I100">
        <f>'Airtel-input'!I69</f>
        <v>13494.3</v>
      </c>
      <c r="J100">
        <f>'Airtel-input'!J69</f>
        <v>13418.6</v>
      </c>
      <c r="K100">
        <f>'Airtel-input'!K69</f>
        <v>16339.9</v>
      </c>
    </row>
    <row r="101" spans="1:17" x14ac:dyDescent="0.3">
      <c r="A101" s="63" t="s">
        <v>154</v>
      </c>
      <c r="B101">
        <f>'Airtel-input'!B67</f>
        <v>5207.2</v>
      </c>
      <c r="C101">
        <f>'Airtel-input'!C67</f>
        <v>5503.9</v>
      </c>
      <c r="D101">
        <f>'Airtel-input'!D67</f>
        <v>4740.2</v>
      </c>
      <c r="E101">
        <f>'Airtel-input'!E67</f>
        <v>5883</v>
      </c>
      <c r="F101">
        <f>'Airtel-input'!F67</f>
        <v>4300.6000000000004</v>
      </c>
      <c r="G101">
        <f>'Airtel-input'!G67</f>
        <v>4605.8</v>
      </c>
      <c r="H101">
        <f>'Airtel-input'!H67</f>
        <v>3637.7</v>
      </c>
      <c r="I101">
        <f>'Airtel-input'!I67</f>
        <v>4056.2</v>
      </c>
      <c r="J101">
        <f>'Airtel-input'!J67</f>
        <v>3981.5</v>
      </c>
      <c r="K101">
        <f>'Airtel-input'!K67</f>
        <v>4727.7</v>
      </c>
    </row>
    <row r="102" spans="1:17" x14ac:dyDescent="0.3">
      <c r="A102" s="63" t="s">
        <v>34</v>
      </c>
      <c r="B102">
        <f>'Airtel-input'!B68</f>
        <v>133.9</v>
      </c>
      <c r="C102">
        <f>'Airtel-input'!C68</f>
        <v>169.2</v>
      </c>
      <c r="D102">
        <f>'Airtel-input'!D68</f>
        <v>48.8</v>
      </c>
      <c r="E102">
        <f>'Airtel-input'!E68</f>
        <v>69.3</v>
      </c>
      <c r="F102">
        <f>'Airtel-input'!F68</f>
        <v>88.4</v>
      </c>
      <c r="G102">
        <f>'Airtel-input'!G68</f>
        <v>156.9</v>
      </c>
      <c r="H102">
        <f>'Airtel-input'!H68</f>
        <v>266</v>
      </c>
      <c r="I102">
        <f>'Airtel-input'!I68</f>
        <v>375</v>
      </c>
      <c r="J102">
        <f>'Airtel-input'!J68</f>
        <v>257.60000000000002</v>
      </c>
      <c r="K102">
        <f>'Airtel-input'!K68</f>
        <v>363.9</v>
      </c>
    </row>
    <row r="103" spans="1:17" x14ac:dyDescent="0.3">
      <c r="A103" s="63" t="s">
        <v>155</v>
      </c>
    </row>
    <row r="104" spans="1:17" x14ac:dyDescent="0.3">
      <c r="A104" s="63" t="s">
        <v>156</v>
      </c>
      <c r="B104">
        <f>'Airtel-input'!C73</f>
        <v>-350</v>
      </c>
      <c r="C104">
        <f>'Airtel-input'!D73</f>
        <v>764</v>
      </c>
      <c r="D104">
        <f>'Airtel-input'!E73</f>
        <v>1512</v>
      </c>
      <c r="E104">
        <f>'Airtel-input'!F73</f>
        <v>2158</v>
      </c>
      <c r="F104">
        <f>'Airtel-input'!G73</f>
        <v>-248</v>
      </c>
      <c r="G104">
        <f>'Airtel-input'!H73</f>
        <v>690</v>
      </c>
      <c r="H104">
        <f>'Airtel-input'!I73</f>
        <v>-488</v>
      </c>
      <c r="I104">
        <f>'Airtel-input'!J73</f>
        <v>1267</v>
      </c>
      <c r="J104">
        <f>'Airtel-input'!K73</f>
        <v>640</v>
      </c>
      <c r="K104">
        <f>'Airtel-input'!L73</f>
        <v>0</v>
      </c>
    </row>
    <row r="105" spans="1:17" x14ac:dyDescent="0.3">
      <c r="A105" s="51" t="s">
        <v>157</v>
      </c>
      <c r="B105" s="51">
        <f>B100+B101+B102+B103-B104</f>
        <v>7774.1999999999989</v>
      </c>
      <c r="C105" s="51">
        <f t="shared" ref="C105:K105" si="52">C100+C101+C102+C103-C104</f>
        <v>10007.799999999999</v>
      </c>
      <c r="D105" s="51">
        <f t="shared" si="52"/>
        <v>8375.2999999999993</v>
      </c>
      <c r="E105" s="51">
        <f t="shared" si="52"/>
        <v>10464.9</v>
      </c>
      <c r="F105" s="51">
        <f t="shared" si="52"/>
        <v>12701</v>
      </c>
      <c r="G105" s="51">
        <f t="shared" si="52"/>
        <v>19965.400000000001</v>
      </c>
      <c r="H105" s="51">
        <f t="shared" si="52"/>
        <v>17857.8</v>
      </c>
      <c r="I105" s="51">
        <f t="shared" si="52"/>
        <v>16658.5</v>
      </c>
      <c r="J105" s="51">
        <f t="shared" si="52"/>
        <v>17017.699999999997</v>
      </c>
      <c r="K105" s="51">
        <f t="shared" si="52"/>
        <v>21431.5</v>
      </c>
      <c r="L105" s="89">
        <f>$L$106*L77</f>
        <v>28015.128630002248</v>
      </c>
      <c r="M105" s="89">
        <f t="shared" ref="M105:Q105" si="53">$L$106*M77</f>
        <v>35018.910787502813</v>
      </c>
      <c r="N105" s="89">
        <f t="shared" si="53"/>
        <v>43773.638484378513</v>
      </c>
      <c r="O105" s="89">
        <f t="shared" si="53"/>
        <v>54717.048105473143</v>
      </c>
      <c r="P105" s="89">
        <f t="shared" si="53"/>
        <v>68396.310131841426</v>
      </c>
      <c r="Q105" s="89">
        <f t="shared" si="53"/>
        <v>85495.38766480179</v>
      </c>
    </row>
    <row r="106" spans="1:17" x14ac:dyDescent="0.3">
      <c r="A106" s="51" t="s">
        <v>195</v>
      </c>
      <c r="B106" s="88">
        <f>B105/B77</f>
        <v>7.9863739980049975E-2</v>
      </c>
      <c r="C106" s="88">
        <f t="shared" ref="C106:K106" si="54">C105/C77</f>
        <v>9.8705889431019392E-2</v>
      </c>
      <c r="D106" s="88">
        <f t="shared" si="54"/>
        <v>8.6182129502147514E-2</v>
      </c>
      <c r="E106" s="88">
        <f t="shared" si="54"/>
        <v>0.1239986112970746</v>
      </c>
      <c r="F106" s="88">
        <f t="shared" si="54"/>
        <v>0.14897782281949415</v>
      </c>
      <c r="G106" s="88">
        <f t="shared" si="54"/>
        <v>0.40119844708265345</v>
      </c>
      <c r="H106" s="88">
        <f t="shared" si="54"/>
        <v>0.18524535066099035</v>
      </c>
      <c r="I106" s="88">
        <f t="shared" si="54"/>
        <v>0.13744296758331065</v>
      </c>
      <c r="J106" s="88">
        <f t="shared" si="54"/>
        <v>0.12141303347443025</v>
      </c>
      <c r="K106" s="88">
        <f t="shared" si="54"/>
        <v>0.14623530158322923</v>
      </c>
      <c r="L106" s="22">
        <f>AVERAGE(B106:K106)</f>
        <v>0.15292632934143996</v>
      </c>
    </row>
    <row r="107" spans="1:17" x14ac:dyDescent="0.3">
      <c r="A107" s="51" t="s">
        <v>197</v>
      </c>
      <c r="B107" s="87"/>
      <c r="C107" s="44">
        <f>C105-B105</f>
        <v>2233.6000000000004</v>
      </c>
      <c r="D107" s="44">
        <f t="shared" ref="D107:Q107" si="55">D105-C105</f>
        <v>-1632.5</v>
      </c>
      <c r="E107" s="44">
        <f t="shared" si="55"/>
        <v>2089.6000000000004</v>
      </c>
      <c r="F107" s="44">
        <f t="shared" si="55"/>
        <v>2236.1000000000004</v>
      </c>
      <c r="G107" s="44">
        <f t="shared" si="55"/>
        <v>7264.4000000000015</v>
      </c>
      <c r="H107" s="44">
        <f t="shared" si="55"/>
        <v>-2107.6000000000022</v>
      </c>
      <c r="I107" s="44">
        <f t="shared" si="55"/>
        <v>-1199.2999999999993</v>
      </c>
      <c r="J107" s="44">
        <f t="shared" si="55"/>
        <v>359.19999999999709</v>
      </c>
      <c r="K107" s="44">
        <f t="shared" si="55"/>
        <v>4413.8000000000029</v>
      </c>
      <c r="L107" s="44">
        <f t="shared" si="55"/>
        <v>6583.6286300022475</v>
      </c>
      <c r="M107" s="44">
        <f t="shared" si="55"/>
        <v>7003.7821575005655</v>
      </c>
      <c r="N107" s="44">
        <f t="shared" si="55"/>
        <v>8754.7276968756996</v>
      </c>
      <c r="O107" s="44">
        <f t="shared" si="55"/>
        <v>10943.40962109463</v>
      </c>
      <c r="P107" s="44">
        <f t="shared" si="55"/>
        <v>13679.262026368284</v>
      </c>
      <c r="Q107" s="44">
        <f t="shared" si="55"/>
        <v>17099.077532960364</v>
      </c>
    </row>
    <row r="108" spans="1:17" x14ac:dyDescent="0.3">
      <c r="A108" s="51"/>
      <c r="B108" s="51"/>
    </row>
    <row r="109" spans="1:17" x14ac:dyDescent="0.3">
      <c r="A109" s="64" t="s">
        <v>159</v>
      </c>
      <c r="B109" s="63">
        <f>'Airtel-input'!B65</f>
        <v>29493.599999999999</v>
      </c>
      <c r="C109" s="63">
        <f>'Airtel-input'!C65</f>
        <v>34500.199999999997</v>
      </c>
      <c r="D109" s="63">
        <f>'Airtel-input'!D65</f>
        <v>28910</v>
      </c>
      <c r="E109" s="63">
        <f>'Airtel-input'!E65</f>
        <v>36410.800000000003</v>
      </c>
      <c r="F109" s="63">
        <f>'Airtel-input'!F65</f>
        <v>47849.599999999999</v>
      </c>
      <c r="G109" s="63">
        <f>'Airtel-input'!G65</f>
        <v>100077</v>
      </c>
      <c r="H109" s="63">
        <f>'Airtel-input'!H65</f>
        <v>87660.6</v>
      </c>
      <c r="I109" s="63">
        <f>'Airtel-input'!I65</f>
        <v>81820.100000000006</v>
      </c>
      <c r="J109" s="63">
        <f>'Airtel-input'!J65</f>
        <v>84783.9</v>
      </c>
      <c r="K109" s="63">
        <f>'Airtel-input'!K65</f>
        <v>90209.7</v>
      </c>
      <c r="L109" s="90">
        <f>$L$110*L77</f>
        <v>123642.42700607545</v>
      </c>
      <c r="M109" s="90">
        <f t="shared" ref="M109:Q109" si="56">$L$110*M77</f>
        <v>154553.03375759433</v>
      </c>
      <c r="N109" s="90">
        <f t="shared" si="56"/>
        <v>193191.2921969929</v>
      </c>
      <c r="O109" s="90">
        <f t="shared" si="56"/>
        <v>241489.11524624113</v>
      </c>
      <c r="P109" s="90">
        <f t="shared" si="56"/>
        <v>301861.3940578014</v>
      </c>
      <c r="Q109" s="90">
        <f t="shared" si="56"/>
        <v>377326.74257225177</v>
      </c>
    </row>
    <row r="110" spans="1:17" x14ac:dyDescent="0.3">
      <c r="A110" s="64" t="s">
        <v>196</v>
      </c>
      <c r="B110" s="88">
        <f>B109/B77</f>
        <v>0.30298541347992103</v>
      </c>
      <c r="C110" s="88">
        <f t="shared" ref="C110:K110" si="57">C109/C77</f>
        <v>0.34027188058794688</v>
      </c>
      <c r="D110" s="88">
        <f t="shared" si="57"/>
        <v>0.29748490966378338</v>
      </c>
      <c r="E110" s="88">
        <f t="shared" si="57"/>
        <v>0.43143160815827425</v>
      </c>
      <c r="F110" s="88">
        <f t="shared" si="57"/>
        <v>0.56125732074511192</v>
      </c>
      <c r="G110" s="88">
        <f t="shared" si="57"/>
        <v>2.0110159069535651</v>
      </c>
      <c r="H110" s="88">
        <f t="shared" si="57"/>
        <v>0.90933477730475265</v>
      </c>
      <c r="I110" s="88">
        <f t="shared" si="57"/>
        <v>0.67506662376343829</v>
      </c>
      <c r="J110" s="88">
        <f t="shared" si="57"/>
        <v>0.60489199414684403</v>
      </c>
      <c r="K110" s="88">
        <f t="shared" si="57"/>
        <v>0.6155352021665601</v>
      </c>
      <c r="L110" s="22">
        <f>AVERAGE(B110:K110)</f>
        <v>0.67492756369701978</v>
      </c>
    </row>
    <row r="111" spans="1:17" x14ac:dyDescent="0.3">
      <c r="A111" s="51"/>
      <c r="B111" s="51" t="s">
        <v>160</v>
      </c>
      <c r="C111" s="44">
        <f>C109-B109</f>
        <v>5006.5999999999985</v>
      </c>
      <c r="D111" s="44">
        <f t="shared" ref="D111:Q111" si="58">D109-C109</f>
        <v>-5590.1999999999971</v>
      </c>
      <c r="E111" s="44">
        <f t="shared" si="58"/>
        <v>7500.8000000000029</v>
      </c>
      <c r="F111" s="44">
        <f t="shared" si="58"/>
        <v>11438.799999999996</v>
      </c>
      <c r="G111" s="44">
        <f t="shared" si="58"/>
        <v>52227.4</v>
      </c>
      <c r="H111" s="44">
        <f t="shared" si="58"/>
        <v>-12416.399999999994</v>
      </c>
      <c r="I111" s="44">
        <f t="shared" si="58"/>
        <v>-5840.5</v>
      </c>
      <c r="J111" s="44">
        <f t="shared" si="58"/>
        <v>2963.7999999999884</v>
      </c>
      <c r="K111" s="44">
        <f t="shared" si="58"/>
        <v>5425.8000000000029</v>
      </c>
      <c r="L111" s="44">
        <f t="shared" si="58"/>
        <v>33432.727006075453</v>
      </c>
      <c r="M111" s="44">
        <f t="shared" si="58"/>
        <v>30910.606751518877</v>
      </c>
      <c r="N111" s="44">
        <f t="shared" si="58"/>
        <v>38638.258439398574</v>
      </c>
      <c r="O111" s="44">
        <f t="shared" si="58"/>
        <v>48297.823049248225</v>
      </c>
      <c r="P111" s="44">
        <f t="shared" si="58"/>
        <v>60372.278811560274</v>
      </c>
      <c r="Q111" s="44">
        <f t="shared" si="58"/>
        <v>75465.348514450365</v>
      </c>
    </row>
    <row r="112" spans="1:17" x14ac:dyDescent="0.3">
      <c r="A112" s="51"/>
      <c r="B112" s="51"/>
    </row>
    <row r="113" spans="1:20" x14ac:dyDescent="0.3">
      <c r="A113" s="51" t="s">
        <v>161</v>
      </c>
      <c r="B113" s="67">
        <f>B38</f>
        <v>124278.6</v>
      </c>
      <c r="C113" s="67">
        <f t="shared" ref="C113:K113" si="59">C38</f>
        <v>172292.8</v>
      </c>
      <c r="D113" s="67">
        <f t="shared" si="59"/>
        <v>178235.1</v>
      </c>
      <c r="E113" s="67">
        <f t="shared" si="59"/>
        <v>187200.4</v>
      </c>
      <c r="F113" s="67">
        <f t="shared" si="59"/>
        <v>200831.5</v>
      </c>
      <c r="G113" s="67">
        <f t="shared" si="59"/>
        <v>229255.5</v>
      </c>
      <c r="H113" s="67">
        <f t="shared" si="59"/>
        <v>223479.6</v>
      </c>
      <c r="I113" s="67">
        <f t="shared" si="59"/>
        <v>244083.3</v>
      </c>
      <c r="J113" s="67">
        <f t="shared" si="59"/>
        <v>277393.8</v>
      </c>
      <c r="K113" s="67">
        <f t="shared" si="59"/>
        <v>303303.09999999998</v>
      </c>
    </row>
    <row r="114" spans="1:20" x14ac:dyDescent="0.3">
      <c r="A114" s="63" t="s">
        <v>162</v>
      </c>
      <c r="B114" s="63">
        <f>B16</f>
        <v>0</v>
      </c>
      <c r="C114" s="63">
        <f t="shared" ref="C114:K114" si="60">C16</f>
        <v>53751.199999999983</v>
      </c>
      <c r="D114" s="63">
        <f t="shared" si="60"/>
        <v>30851.800000000017</v>
      </c>
      <c r="E114" s="63">
        <f t="shared" si="60"/>
        <v>27121.1</v>
      </c>
      <c r="F114" s="63">
        <f t="shared" si="60"/>
        <v>34861.60000000002</v>
      </c>
      <c r="G114" s="63">
        <f t="shared" si="60"/>
        <v>50761.699999999983</v>
      </c>
      <c r="H114" s="63">
        <f t="shared" si="60"/>
        <v>25072.700000000008</v>
      </c>
      <c r="I114" s="63">
        <f t="shared" si="60"/>
        <v>53922.599999999991</v>
      </c>
      <c r="J114" s="63">
        <f t="shared" si="60"/>
        <v>113213.00000000003</v>
      </c>
      <c r="K114" s="63">
        <f t="shared" si="60"/>
        <v>32925.599999999962</v>
      </c>
      <c r="L114" s="90">
        <f>$R$117*L77</f>
        <v>40302.597500000003</v>
      </c>
      <c r="M114" s="90">
        <f t="shared" ref="M114:Q114" si="61">$R$117*M77</f>
        <v>50378.246874999997</v>
      </c>
      <c r="N114" s="90">
        <f t="shared" si="61"/>
        <v>62972.80859375</v>
      </c>
      <c r="O114" s="90">
        <f t="shared" si="61"/>
        <v>78716.0107421875</v>
      </c>
      <c r="P114" s="90">
        <f t="shared" si="61"/>
        <v>98395.013427734375</v>
      </c>
      <c r="Q114" s="90">
        <f t="shared" si="61"/>
        <v>122993.76678466797</v>
      </c>
    </row>
    <row r="115" spans="1:20" x14ac:dyDescent="0.3">
      <c r="A115" s="51" t="s">
        <v>6</v>
      </c>
      <c r="B115" s="67">
        <f>B9</f>
        <v>19858.3</v>
      </c>
      <c r="C115" s="67">
        <f t="shared" ref="C115:K115" si="62">C9</f>
        <v>17449.8</v>
      </c>
      <c r="D115" s="67">
        <f t="shared" si="62"/>
        <v>19773</v>
      </c>
      <c r="E115" s="67">
        <f t="shared" si="62"/>
        <v>19243.099999999999</v>
      </c>
      <c r="F115" s="67">
        <f t="shared" si="62"/>
        <v>21347.5</v>
      </c>
      <c r="G115" s="67">
        <f t="shared" si="62"/>
        <v>27689.599999999999</v>
      </c>
      <c r="H115" s="67">
        <f t="shared" si="62"/>
        <v>29404.400000000001</v>
      </c>
      <c r="I115" s="67">
        <f t="shared" si="62"/>
        <v>33090.699999999997</v>
      </c>
      <c r="J115" s="67">
        <f t="shared" si="62"/>
        <v>36431.800000000003</v>
      </c>
      <c r="K115" s="67">
        <f t="shared" si="62"/>
        <v>39537.599999999999</v>
      </c>
      <c r="L115" s="90">
        <f>L86</f>
        <v>49867.886961728123</v>
      </c>
      <c r="M115" s="90">
        <f t="shared" ref="M115:Q115" si="63">M86</f>
        <v>62334.858702160156</v>
      </c>
      <c r="N115" s="90">
        <f t="shared" si="63"/>
        <v>77918.573377700202</v>
      </c>
      <c r="O115" s="90">
        <f t="shared" si="63"/>
        <v>97398.216722125246</v>
      </c>
      <c r="P115" s="90">
        <f t="shared" si="63"/>
        <v>121747.77090265656</v>
      </c>
      <c r="Q115" s="90">
        <f t="shared" si="63"/>
        <v>152184.71362832069</v>
      </c>
    </row>
    <row r="116" spans="1:20" x14ac:dyDescent="0.3">
      <c r="A116" s="51" t="s">
        <v>163</v>
      </c>
      <c r="B116" s="67">
        <f>B113+B114-B115</f>
        <v>104420.3</v>
      </c>
      <c r="C116" s="67">
        <f t="shared" ref="C116:K116" si="64">C113+C114-C115</f>
        <v>208594.19999999998</v>
      </c>
      <c r="D116" s="67">
        <f t="shared" si="64"/>
        <v>189313.90000000002</v>
      </c>
      <c r="E116" s="67">
        <f t="shared" si="64"/>
        <v>195078.39999999999</v>
      </c>
      <c r="F116" s="67">
        <f t="shared" si="64"/>
        <v>214345.60000000003</v>
      </c>
      <c r="G116" s="67">
        <f t="shared" si="64"/>
        <v>252327.59999999995</v>
      </c>
      <c r="H116" s="67">
        <f t="shared" si="64"/>
        <v>219147.90000000002</v>
      </c>
      <c r="I116" s="67">
        <f t="shared" si="64"/>
        <v>264915.19999999995</v>
      </c>
      <c r="J116" s="67">
        <f t="shared" si="64"/>
        <v>354175.00000000006</v>
      </c>
      <c r="K116" s="67">
        <f t="shared" si="64"/>
        <v>296691.09999999998</v>
      </c>
      <c r="R116" s="22"/>
    </row>
    <row r="117" spans="1:20" x14ac:dyDescent="0.3">
      <c r="A117" s="51" t="s">
        <v>242</v>
      </c>
      <c r="B117" s="60">
        <f>B114/B77</f>
        <v>0</v>
      </c>
      <c r="C117" s="60">
        <f t="shared" ref="C117:K117" si="65">C114/C77</f>
        <v>0.53014248925684049</v>
      </c>
      <c r="D117" s="60">
        <f t="shared" si="65"/>
        <v>0.31746609947994181</v>
      </c>
      <c r="E117" s="60">
        <f t="shared" si="65"/>
        <v>0.32135794291862224</v>
      </c>
      <c r="F117" s="60">
        <f t="shared" si="65"/>
        <v>0.4089130988114385</v>
      </c>
      <c r="G117" s="60">
        <f t="shared" si="65"/>
        <v>1.020040430508556</v>
      </c>
      <c r="H117" s="60">
        <f t="shared" si="65"/>
        <v>0.26008809055526516</v>
      </c>
      <c r="I117" s="60">
        <f t="shared" si="65"/>
        <v>0.44489492834335775</v>
      </c>
      <c r="J117" s="60">
        <f t="shared" si="65"/>
        <v>0.80771983045538931</v>
      </c>
      <c r="K117" s="60">
        <f t="shared" si="65"/>
        <v>0.22466393140045104</v>
      </c>
      <c r="R117" s="22">
        <v>0.22</v>
      </c>
    </row>
    <row r="119" spans="1:20" x14ac:dyDescent="0.3">
      <c r="A119" s="73" t="s">
        <v>176</v>
      </c>
      <c r="B119" s="74"/>
      <c r="C119" s="74"/>
      <c r="D119" s="74"/>
      <c r="E119" s="74"/>
      <c r="F119" s="75" t="s">
        <v>177</v>
      </c>
      <c r="G119" s="75"/>
      <c r="H119" s="75"/>
      <c r="I119" s="75"/>
      <c r="J119" s="75"/>
      <c r="K119" s="76"/>
      <c r="L119" s="74"/>
    </row>
    <row r="120" spans="1:20" x14ac:dyDescent="0.3">
      <c r="A120" s="74"/>
      <c r="B120" s="74"/>
      <c r="C120" s="74"/>
      <c r="D120" s="74"/>
      <c r="E120" s="74"/>
      <c r="F120" s="119">
        <f>L76</f>
        <v>45747</v>
      </c>
      <c r="G120" s="119">
        <f t="shared" ref="G120:J120" si="66">M76</f>
        <v>46112</v>
      </c>
      <c r="H120" s="119">
        <f t="shared" si="66"/>
        <v>46477</v>
      </c>
      <c r="I120" s="119">
        <f t="shared" si="66"/>
        <v>46843</v>
      </c>
      <c r="J120" s="119">
        <f t="shared" si="66"/>
        <v>47208</v>
      </c>
      <c r="K120" s="121"/>
      <c r="L120" s="74"/>
    </row>
    <row r="121" spans="1:20" ht="28.8" x14ac:dyDescent="0.3">
      <c r="A121" s="114" t="s">
        <v>178</v>
      </c>
      <c r="B121" s="114"/>
      <c r="C121" s="114"/>
      <c r="D121" s="114"/>
      <c r="E121" s="114"/>
      <c r="F121" s="117">
        <f>L88</f>
        <v>74432.61508118108</v>
      </c>
      <c r="G121" s="117">
        <f t="shared" ref="G121:J121" si="67">M88</f>
        <v>93040.768851476343</v>
      </c>
      <c r="H121" s="117">
        <f t="shared" si="67"/>
        <v>116300.96106434544</v>
      </c>
      <c r="I121" s="117">
        <f t="shared" si="67"/>
        <v>145376.2013304318</v>
      </c>
      <c r="J121" s="117">
        <f t="shared" si="67"/>
        <v>181720.25166303973</v>
      </c>
      <c r="K121" s="115"/>
      <c r="L121" s="74"/>
      <c r="O121" s="70" t="s">
        <v>198</v>
      </c>
      <c r="P121" s="70" t="s">
        <v>199</v>
      </c>
      <c r="Q121" s="69"/>
    </row>
    <row r="122" spans="1:20" x14ac:dyDescent="0.3">
      <c r="A122" s="114" t="s">
        <v>179</v>
      </c>
      <c r="B122" s="114"/>
      <c r="C122" s="114" t="s">
        <v>180</v>
      </c>
      <c r="D122" s="116">
        <f>P124</f>
        <v>0.25168000000000001</v>
      </c>
      <c r="E122" s="114"/>
      <c r="F122" s="117">
        <f>F121*(1-$D$122)</f>
        <v>55699.414517549427</v>
      </c>
      <c r="G122" s="117">
        <f t="shared" ref="G122:J122" si="68">G121*(1-$D$122)</f>
        <v>69624.268146936782</v>
      </c>
      <c r="H122" s="117">
        <f t="shared" si="68"/>
        <v>87030.335183670977</v>
      </c>
      <c r="I122" s="117">
        <f t="shared" si="68"/>
        <v>108787.91897958872</v>
      </c>
      <c r="J122" s="117">
        <f t="shared" si="68"/>
        <v>135984.89872448589</v>
      </c>
      <c r="K122" s="115"/>
      <c r="L122" s="74"/>
      <c r="O122" s="70" t="s">
        <v>231</v>
      </c>
      <c r="P122" s="71">
        <v>0.34</v>
      </c>
      <c r="Q122" s="109"/>
      <c r="R122" s="91"/>
      <c r="S122" s="91"/>
      <c r="T122" s="91"/>
    </row>
    <row r="123" spans="1:20" x14ac:dyDescent="0.3">
      <c r="A123" s="114" t="s">
        <v>6</v>
      </c>
      <c r="B123" s="114"/>
      <c r="C123" s="114"/>
      <c r="D123" s="114"/>
      <c r="E123" s="114"/>
      <c r="F123" s="117">
        <f>L86</f>
        <v>49867.886961728123</v>
      </c>
      <c r="G123" s="117">
        <f t="shared" ref="G123:I123" si="69">M86</f>
        <v>62334.858702160156</v>
      </c>
      <c r="H123" s="117">
        <f t="shared" si="69"/>
        <v>77918.573377700202</v>
      </c>
      <c r="I123" s="117">
        <f t="shared" si="69"/>
        <v>97398.216722125246</v>
      </c>
      <c r="J123" s="117">
        <f>P86</f>
        <v>121747.77090265656</v>
      </c>
      <c r="K123" s="115"/>
      <c r="L123" s="74"/>
      <c r="O123" s="70" t="s">
        <v>200</v>
      </c>
      <c r="P123" s="71">
        <v>2.59</v>
      </c>
      <c r="Q123" s="109"/>
      <c r="R123" s="188"/>
      <c r="S123" s="193"/>
      <c r="T123" s="68"/>
    </row>
    <row r="124" spans="1:20" x14ac:dyDescent="0.3">
      <c r="A124" s="114" t="s">
        <v>181</v>
      </c>
      <c r="B124" s="114"/>
      <c r="C124" s="114"/>
      <c r="D124" s="114"/>
      <c r="E124" s="114"/>
      <c r="F124" s="118">
        <f>L114</f>
        <v>40302.597500000003</v>
      </c>
      <c r="G124" s="118">
        <f t="shared" ref="G124:J124" si="70">M114</f>
        <v>50378.246874999997</v>
      </c>
      <c r="H124" s="118">
        <f t="shared" si="70"/>
        <v>62972.80859375</v>
      </c>
      <c r="I124" s="118">
        <f t="shared" si="70"/>
        <v>78716.0107421875</v>
      </c>
      <c r="J124" s="118">
        <f t="shared" si="70"/>
        <v>98395.013427734375</v>
      </c>
      <c r="K124" s="122"/>
      <c r="L124" s="74"/>
      <c r="O124" s="70" t="s">
        <v>203</v>
      </c>
      <c r="P124" s="95">
        <f>25.168%</f>
        <v>0.25168000000000001</v>
      </c>
      <c r="Q124" s="109"/>
      <c r="R124" s="188"/>
      <c r="S124" s="193"/>
      <c r="T124" s="93"/>
    </row>
    <row r="125" spans="1:20" x14ac:dyDescent="0.3">
      <c r="A125" s="114" t="s">
        <v>158</v>
      </c>
      <c r="B125" s="114"/>
      <c r="C125" s="114"/>
      <c r="D125" s="114"/>
      <c r="E125" s="114"/>
      <c r="F125" s="117">
        <f>L107</f>
        <v>6583.6286300022475</v>
      </c>
      <c r="G125" s="117">
        <f t="shared" ref="G125:J125" si="71">M107</f>
        <v>7003.7821575005655</v>
      </c>
      <c r="H125" s="117">
        <f t="shared" si="71"/>
        <v>8754.7276968756996</v>
      </c>
      <c r="I125" s="117">
        <f t="shared" si="71"/>
        <v>10943.40962109463</v>
      </c>
      <c r="J125" s="117">
        <f t="shared" si="71"/>
        <v>13679.262026368284</v>
      </c>
      <c r="K125" s="115"/>
      <c r="L125" s="74"/>
      <c r="O125" s="70" t="s">
        <v>204</v>
      </c>
      <c r="P125" s="105">
        <v>5.1799999999999999E-2</v>
      </c>
      <c r="Q125" s="109"/>
      <c r="R125" s="188"/>
      <c r="S125" s="192"/>
      <c r="T125" s="68"/>
    </row>
    <row r="126" spans="1:20" x14ac:dyDescent="0.3">
      <c r="A126" s="114" t="s">
        <v>160</v>
      </c>
      <c r="B126" s="114"/>
      <c r="C126" s="114"/>
      <c r="D126" s="114"/>
      <c r="E126" s="114"/>
      <c r="F126" s="117">
        <f>L111</f>
        <v>33432.727006075453</v>
      </c>
      <c r="G126" s="117">
        <f t="shared" ref="G126:J126" si="72">M111</f>
        <v>30910.606751518877</v>
      </c>
      <c r="H126" s="117">
        <f t="shared" si="72"/>
        <v>38638.258439398574</v>
      </c>
      <c r="I126" s="117">
        <f t="shared" si="72"/>
        <v>48297.823049248225</v>
      </c>
      <c r="J126" s="117">
        <f t="shared" si="72"/>
        <v>60372.278811560274</v>
      </c>
      <c r="K126" s="115"/>
      <c r="L126" s="74"/>
      <c r="O126" s="70" t="s">
        <v>205</v>
      </c>
      <c r="P126" s="95">
        <f>P131+P122*P128</f>
        <v>9.5806734770592566E-2</v>
      </c>
      <c r="Q126" s="109"/>
      <c r="R126" s="188"/>
      <c r="S126" s="192"/>
      <c r="T126" s="93"/>
    </row>
    <row r="127" spans="1:20" x14ac:dyDescent="0.3">
      <c r="A127" s="114" t="s">
        <v>182</v>
      </c>
      <c r="B127" s="114"/>
      <c r="C127" s="114"/>
      <c r="D127" s="114"/>
      <c r="E127" s="114"/>
      <c r="F127" s="117">
        <f>F122+F123-F124-F125-F126</f>
        <v>25248.348343199847</v>
      </c>
      <c r="G127" s="117">
        <f>G122+G123-G124-G125-G126</f>
        <v>43666.491065077498</v>
      </c>
      <c r="H127" s="117">
        <f t="shared" ref="H127:J127" si="73">H122+H123-H124-H125-H126</f>
        <v>54583.113831346913</v>
      </c>
      <c r="I127" s="117">
        <f t="shared" si="73"/>
        <v>68228.892289183612</v>
      </c>
      <c r="J127" s="117">
        <f t="shared" si="73"/>
        <v>85286.115361479489</v>
      </c>
      <c r="K127" s="115"/>
      <c r="L127" s="74"/>
      <c r="O127" s="106" t="s">
        <v>206</v>
      </c>
      <c r="P127" s="107">
        <f>P129*P125+P130*P126</f>
        <v>8.7445455164179994E-2</v>
      </c>
      <c r="Q127" s="109"/>
      <c r="R127" s="69"/>
      <c r="S127" s="94"/>
      <c r="T127" s="68"/>
    </row>
    <row r="128" spans="1:20" x14ac:dyDescent="0.3">
      <c r="A128" s="114" t="s">
        <v>183</v>
      </c>
      <c r="B128" s="114"/>
      <c r="C128" s="114" t="s">
        <v>184</v>
      </c>
      <c r="D128" s="116">
        <f>0.03</f>
        <v>0.03</v>
      </c>
      <c r="E128" s="114"/>
      <c r="F128" s="114"/>
      <c r="G128" s="114"/>
      <c r="H128" s="114"/>
      <c r="I128" s="114"/>
      <c r="J128" s="115">
        <f>J127*(1+D128)/(P127-D128)</f>
        <v>1529184.4858964451</v>
      </c>
      <c r="L128" s="74" t="s">
        <v>185</v>
      </c>
      <c r="O128" s="70" t="s">
        <v>207</v>
      </c>
      <c r="P128" s="104">
        <f>'WACC Calc'!C19</f>
        <v>8.3255102266448722E-2</v>
      </c>
      <c r="Q128" s="109"/>
      <c r="R128" s="188"/>
      <c r="S128" s="192"/>
      <c r="T128" s="68"/>
    </row>
    <row r="129" spans="1:20" x14ac:dyDescent="0.3">
      <c r="A129" s="74"/>
      <c r="B129" s="74"/>
      <c r="C129" s="74"/>
      <c r="D129" s="74"/>
      <c r="E129" s="74"/>
      <c r="F129" s="77">
        <f>F127+F128</f>
        <v>25248.348343199847</v>
      </c>
      <c r="G129" s="77">
        <f t="shared" ref="G129:H129" si="74">G127+G128</f>
        <v>43666.491065077498</v>
      </c>
      <c r="H129" s="77">
        <f t="shared" si="74"/>
        <v>54583.113831346913</v>
      </c>
      <c r="I129" s="77">
        <f>I127+I128</f>
        <v>68228.892289183612</v>
      </c>
      <c r="J129" s="77">
        <f>J127+J128</f>
        <v>1614470.6012579247</v>
      </c>
      <c r="L129" s="74"/>
      <c r="O129" s="70" t="s">
        <v>229</v>
      </c>
      <c r="P129" s="98">
        <v>0.19</v>
      </c>
      <c r="Q129" s="109"/>
      <c r="R129" s="188"/>
      <c r="S129" s="192"/>
      <c r="T129" s="93"/>
    </row>
    <row r="130" spans="1:20" x14ac:dyDescent="0.3">
      <c r="A130" s="74" t="s">
        <v>186</v>
      </c>
      <c r="B130" s="74"/>
      <c r="C130" s="74"/>
      <c r="D130" s="74"/>
      <c r="E130" s="74"/>
      <c r="F130" s="80"/>
      <c r="G130" s="80"/>
      <c r="H130" s="80"/>
      <c r="I130" s="80"/>
      <c r="J130" s="80"/>
      <c r="K130" s="74"/>
      <c r="L130" s="74"/>
      <c r="O130" s="70" t="s">
        <v>230</v>
      </c>
      <c r="P130" s="98">
        <v>0.81</v>
      </c>
      <c r="R130" s="188"/>
      <c r="S130" s="193"/>
      <c r="T130" s="68"/>
    </row>
    <row r="131" spans="1:20" x14ac:dyDescent="0.3">
      <c r="A131" s="74" t="s">
        <v>187</v>
      </c>
      <c r="B131" s="74"/>
      <c r="C131" s="74"/>
      <c r="D131" s="74"/>
      <c r="E131" s="74"/>
      <c r="F131" s="77"/>
      <c r="G131" s="77"/>
      <c r="H131" s="77"/>
      <c r="I131" s="77"/>
      <c r="J131" s="77"/>
      <c r="K131" s="74"/>
      <c r="L131" s="74"/>
      <c r="O131" s="70" t="s">
        <v>232</v>
      </c>
      <c r="P131" s="98">
        <v>6.7500000000000004E-2</v>
      </c>
      <c r="R131" s="188"/>
      <c r="S131" s="193"/>
      <c r="T131" s="93"/>
    </row>
    <row r="132" spans="1:20" x14ac:dyDescent="0.3">
      <c r="A132" s="81" t="s">
        <v>305</v>
      </c>
      <c r="B132" s="81"/>
      <c r="C132" s="74"/>
      <c r="D132" s="74"/>
      <c r="E132" s="161">
        <f>NPV(P127,F129:J129)</f>
        <v>1213058.669846074</v>
      </c>
      <c r="F132" s="74"/>
      <c r="G132" s="74"/>
      <c r="H132" s="74"/>
      <c r="I132" s="74"/>
      <c r="J132" s="74"/>
      <c r="K132" s="74"/>
      <c r="L132" s="74"/>
      <c r="R132" s="69"/>
      <c r="S132" s="94"/>
      <c r="T132" s="68"/>
    </row>
    <row r="133" spans="1:20" x14ac:dyDescent="0.3">
      <c r="A133" s="74" t="s">
        <v>286</v>
      </c>
      <c r="B133" s="74"/>
      <c r="C133" s="74"/>
      <c r="D133" s="74"/>
      <c r="E133" s="108">
        <f>K48</f>
        <v>215592.3</v>
      </c>
      <c r="F133" s="74"/>
      <c r="G133" s="74"/>
      <c r="H133" s="74"/>
      <c r="I133" s="74"/>
      <c r="J133" s="74"/>
      <c r="K133" s="74"/>
      <c r="L133" s="74"/>
      <c r="O133" t="s">
        <v>239</v>
      </c>
    </row>
    <row r="134" spans="1:20" x14ac:dyDescent="0.3">
      <c r="A134" s="74" t="s">
        <v>190</v>
      </c>
      <c r="B134" s="74"/>
      <c r="C134" s="74"/>
      <c r="D134" s="74"/>
      <c r="E134" s="82">
        <f>E132-E133</f>
        <v>997466.36984607391</v>
      </c>
      <c r="F134" s="74"/>
      <c r="G134" s="74"/>
      <c r="H134" s="74"/>
      <c r="I134" s="74"/>
      <c r="J134" s="74"/>
      <c r="K134" s="74"/>
      <c r="L134" s="74"/>
      <c r="O134" t="s">
        <v>240</v>
      </c>
    </row>
    <row r="135" spans="1:20" x14ac:dyDescent="0.3">
      <c r="A135" s="74" t="s">
        <v>236</v>
      </c>
      <c r="B135" s="74"/>
      <c r="C135" s="74"/>
      <c r="D135" s="80">
        <v>598.08129537638513</v>
      </c>
      <c r="E135" s="74"/>
      <c r="F135" s="74"/>
      <c r="G135" s="74"/>
      <c r="H135" s="74"/>
      <c r="I135" s="74"/>
      <c r="J135" s="74"/>
      <c r="K135" s="74"/>
      <c r="L135" s="74"/>
    </row>
    <row r="136" spans="1:20" ht="15" thickBot="1" x14ac:dyDescent="0.35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</row>
    <row r="137" spans="1:20" ht="15" thickBot="1" x14ac:dyDescent="0.35">
      <c r="A137" s="83" t="s">
        <v>191</v>
      </c>
      <c r="B137" s="83"/>
      <c r="C137" s="83"/>
      <c r="D137" s="83"/>
      <c r="E137" s="113">
        <f>E134/D135</f>
        <v>1667.7772362339929</v>
      </c>
    </row>
  </sheetData>
  <mergeCells count="8">
    <mergeCell ref="R128:R129"/>
    <mergeCell ref="S128:S129"/>
    <mergeCell ref="R130:R131"/>
    <mergeCell ref="S130:S131"/>
    <mergeCell ref="R123:R124"/>
    <mergeCell ref="S123:S124"/>
    <mergeCell ref="R125:R126"/>
    <mergeCell ref="S125:S126"/>
  </mergeCells>
  <conditionalFormatting sqref="B15:K15">
    <cfRule type="cellIs" dxfId="63" priority="10" operator="lessThan">
      <formula>B1048547</formula>
    </cfRule>
    <cfRule type="cellIs" dxfId="62" priority="11" operator="greaterThan">
      <formula>B1048547</formula>
    </cfRule>
  </conditionalFormatting>
  <conditionalFormatting sqref="B56:K56">
    <cfRule type="cellIs" dxfId="61" priority="72" operator="greaterThan">
      <formula>B13</formula>
    </cfRule>
    <cfRule type="cellIs" dxfId="60" priority="71" operator="lessThan">
      <formula>B13</formula>
    </cfRule>
  </conditionalFormatting>
  <conditionalFormatting sqref="B68:K68">
    <cfRule type="cellIs" dxfId="59" priority="25" operator="greaterThan">
      <formula>A68</formula>
    </cfRule>
    <cfRule type="cellIs" dxfId="58" priority="26" operator="lessThan">
      <formula>A68</formula>
    </cfRule>
    <cfRule type="cellIs" dxfId="57" priority="27" operator="greaterThan">
      <formula>A68</formula>
    </cfRule>
    <cfRule type="cellIs" dxfId="56" priority="28" operator="lessThan">
      <formula>A68</formula>
    </cfRule>
  </conditionalFormatting>
  <conditionalFormatting sqref="B94:K9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5:K9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ellIs" dxfId="55" priority="42" operator="lessThan">
      <formula>0.295</formula>
    </cfRule>
    <cfRule type="cellIs" dxfId="54" priority="41" operator="greaterThanOrEqual">
      <formula>0.295</formula>
    </cfRule>
  </conditionalFormatting>
  <conditionalFormatting sqref="B94:Q9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8 E18 G18 I18 K18">
    <cfRule type="cellIs" dxfId="53" priority="12" operator="greaterThan">
      <formula>B18</formula>
    </cfRule>
    <cfRule type="cellIs" dxfId="52" priority="13" operator="lessThan">
      <formula>B18</formula>
    </cfRule>
    <cfRule type="cellIs" dxfId="51" priority="14" operator="greaterThan">
      <formula>B18</formula>
    </cfRule>
    <cfRule type="cellIs" dxfId="50" priority="15" operator="lessThan">
      <formula>B18</formula>
    </cfRule>
  </conditionalFormatting>
  <conditionalFormatting sqref="C48 E48:K48">
    <cfRule type="cellIs" dxfId="49" priority="70" operator="lessThan">
      <formula>B48</formula>
    </cfRule>
    <cfRule type="cellIs" dxfId="48" priority="69" operator="greaterThan">
      <formula>B48</formula>
    </cfRule>
  </conditionalFormatting>
  <conditionalFormatting sqref="C16:K16">
    <cfRule type="cellIs" dxfId="47" priority="40" operator="lessThan">
      <formula>C15</formula>
    </cfRule>
    <cfRule type="cellIs" dxfId="46" priority="39" operator="greaterThanOrEqual">
      <formula>C15</formula>
    </cfRule>
  </conditionalFormatting>
  <conditionalFormatting sqref="C19:K19">
    <cfRule type="cellIs" dxfId="45" priority="17" operator="lessThan">
      <formula>B19</formula>
    </cfRule>
    <cfRule type="cellIs" dxfId="44" priority="16" operator="greaterThan">
      <formula>B19</formula>
    </cfRule>
  </conditionalFormatting>
  <conditionalFormatting sqref="C28:K28">
    <cfRule type="cellIs" dxfId="43" priority="62" operator="lessThan">
      <formula>0.1</formula>
    </cfRule>
    <cfRule type="cellIs" dxfId="42" priority="60" operator="greaterThan">
      <formula>0.25</formula>
    </cfRule>
  </conditionalFormatting>
  <conditionalFormatting sqref="C29:K29">
    <cfRule type="cellIs" dxfId="41" priority="61" operator="lessThan">
      <formula>0.07</formula>
    </cfRule>
    <cfRule type="cellIs" dxfId="40" priority="59" operator="greaterThan">
      <formula>0.25</formula>
    </cfRule>
  </conditionalFormatting>
  <conditionalFormatting sqref="C30:K30">
    <cfRule type="cellIs" dxfId="39" priority="57" operator="greaterThan">
      <formula>0.35</formula>
    </cfRule>
    <cfRule type="cellIs" dxfId="38" priority="58" operator="lessThan">
      <formula>0.1</formula>
    </cfRule>
  </conditionalFormatting>
  <conditionalFormatting sqref="C40:K40 C48:K48">
    <cfRule type="cellIs" dxfId="37" priority="68" operator="lessThan">
      <formula>B40</formula>
    </cfRule>
    <cfRule type="cellIs" dxfId="36" priority="67" operator="greaterThan">
      <formula>B40</formula>
    </cfRule>
  </conditionalFormatting>
  <conditionalFormatting sqref="C41:K41">
    <cfRule type="cellIs" dxfId="35" priority="43" operator="lessThan">
      <formula>B41</formula>
    </cfRule>
    <cfRule type="cellIs" dxfId="34" priority="44" operator="greaterThan">
      <formula>B41</formula>
    </cfRule>
  </conditionalFormatting>
  <conditionalFormatting sqref="C53:K53">
    <cfRule type="cellIs" dxfId="33" priority="73" operator="lessThan">
      <formula>1</formula>
    </cfRule>
  </conditionalFormatting>
  <conditionalFormatting sqref="C69:K73">
    <cfRule type="cellIs" dxfId="32" priority="20" operator="greaterThan">
      <formula>B69</formula>
    </cfRule>
    <cfRule type="cellIs" dxfId="31" priority="21" operator="lessThan">
      <formula>B69</formula>
    </cfRule>
    <cfRule type="cellIs" dxfId="30" priority="22" operator="greaterThan">
      <formula>B69</formula>
    </cfRule>
    <cfRule type="cellIs" dxfId="29" priority="23" operator="lessThan">
      <formula>B69</formula>
    </cfRule>
  </conditionalFormatting>
  <conditionalFormatting sqref="C3:L3 C5:L5 C14:L14 C20:K20">
    <cfRule type="cellIs" dxfId="28" priority="18" operator="lessThan">
      <formula>B3</formula>
    </cfRule>
    <cfRule type="cellIs" dxfId="27" priority="19" operator="greaterThan">
      <formula>B3</formula>
    </cfRule>
  </conditionalFormatting>
  <conditionalFormatting sqref="D33:K33">
    <cfRule type="cellIs" dxfId="26" priority="36" operator="greaterThan">
      <formula>C33</formula>
    </cfRule>
    <cfRule type="cellIs" dxfId="25" priority="35" operator="lessThan">
      <formula>C33</formula>
    </cfRule>
  </conditionalFormatting>
  <conditionalFormatting sqref="D34:K34">
    <cfRule type="cellIs" dxfId="24" priority="47" operator="greaterThan">
      <formula>C34</formula>
    </cfRule>
    <cfRule type="cellIs" dxfId="23" priority="48" operator="lessThan">
      <formula>C34</formula>
    </cfRule>
  </conditionalFormatting>
  <conditionalFormatting sqref="D35:K35">
    <cfRule type="cellIs" dxfId="22" priority="45" operator="lessThan">
      <formula>C35</formula>
    </cfRule>
    <cfRule type="cellIs" dxfId="21" priority="46" operator="greaterThan">
      <formula>C35</formula>
    </cfRule>
  </conditionalFormatting>
  <conditionalFormatting sqref="D36:K36">
    <cfRule type="cellIs" dxfId="20" priority="30" operator="lessThan">
      <formula>C36</formula>
    </cfRule>
    <cfRule type="cellIs" dxfId="19" priority="29" operator="greaterThan">
      <formula>C36</formula>
    </cfRule>
  </conditionalFormatting>
  <conditionalFormatting sqref="F31:K31 D37:K37">
    <cfRule type="cellIs" dxfId="18" priority="53" operator="lessThan">
      <formula>C31</formula>
    </cfRule>
    <cfRule type="cellIs" dxfId="17" priority="54" operator="greaterThan">
      <formula>C31</formula>
    </cfRule>
  </conditionalFormatting>
  <conditionalFormatting sqref="L94:Q9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5">
    <cfRule type="cellIs" dxfId="16" priority="33" operator="lessThan">
      <formula>M13</formula>
    </cfRule>
    <cfRule type="cellIs" dxfId="15" priority="34" operator="greaterThan">
      <formula>M13</formula>
    </cfRule>
  </conditionalFormatting>
  <conditionalFormatting sqref="M16">
    <cfRule type="cellIs" dxfId="14" priority="31" operator="greaterThanOrEqual">
      <formula>M15</formula>
    </cfRule>
    <cfRule type="cellIs" dxfId="13" priority="32" operator="lessThan">
      <formula>M15</formula>
    </cfRule>
  </conditionalFormatting>
  <conditionalFormatting sqref="M20">
    <cfRule type="cellIs" dxfId="12" priority="6" operator="lessThan">
      <formula>0</formula>
    </cfRule>
    <cfRule type="cellIs" dxfId="11" priority="5" operator="greaterThan">
      <formula>0</formula>
    </cfRule>
  </conditionalFormatting>
  <conditionalFormatting sqref="M21 L46">
    <cfRule type="cellIs" dxfId="10" priority="64" operator="greaterThan">
      <formula>$L$45</formula>
    </cfRule>
  </conditionalFormatting>
  <conditionalFormatting sqref="N18">
    <cfRule type="cellIs" dxfId="9" priority="56" operator="lessThan">
      <formula>$N$17</formula>
    </cfRule>
    <cfRule type="cellIs" dxfId="8" priority="55" operator="greaterThan">
      <formula>$N$17</formula>
    </cfRule>
  </conditionalFormatting>
  <conditionalFormatting sqref="N19">
    <cfRule type="cellIs" dxfId="7" priority="63" operator="lessThan">
      <formula>1</formula>
    </cfRule>
  </conditionalFormatting>
  <conditionalFormatting sqref="O10">
    <cfRule type="cellIs" dxfId="6" priority="9" operator="lessThan">
      <formula>10</formula>
    </cfRule>
  </conditionalFormatting>
  <conditionalFormatting sqref="O13">
    <cfRule type="cellIs" dxfId="5" priority="8" operator="greaterThan">
      <formula>22.5</formula>
    </cfRule>
  </conditionalFormatting>
  <conditionalFormatting sqref="O14">
    <cfRule type="cellIs" dxfId="4" priority="7" operator="greaterThanOrEqual">
      <formula>0.04</formula>
    </cfRule>
  </conditionalFormatting>
  <conditionalFormatting sqref="Q17">
    <cfRule type="cellIs" dxfId="3" priority="24" operator="greaterThan">
      <formula>15</formula>
    </cfRule>
  </conditionalFormatting>
  <conditionalFormatting sqref="S16 T18 AD18:XFD18 P54">
    <cfRule type="cellIs" dxfId="2" priority="65" operator="lessThan">
      <formula>#REF!</formula>
    </cfRule>
    <cfRule type="cellIs" dxfId="1" priority="66" operator="greaterThan">
      <formula>#REF!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 xr2:uid="{D4082A07-A74E-4170-94B2-8DCE592A978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Airtel!B95:K95</xm:f>
              <xm:sqref>L95</xm:sqref>
            </x14:sparkline>
          </x14:sparklines>
        </x14:sparklineGroup>
        <x14:sparklineGroup type="column" displayEmptyCellsAs="span" xr2:uid="{BF7CF546-971D-4FCB-8AB9-761E375B784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Airtel!L94:Q94</xm:f>
              <xm:sqref>R94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9227-03BB-4ACC-AD9B-F62EEB20E7CA}">
  <dimension ref="A1:K93"/>
  <sheetViews>
    <sheetView zoomScaleNormal="100" zoomScalePageLayoutView="120" workbookViewId="0">
      <pane xSplit="1" ySplit="1" topLeftCell="B2" activePane="bottomRight" state="frozen"/>
      <selection activeCell="B82" sqref="B82"/>
      <selection pane="topRight" activeCell="B82" sqref="B82"/>
      <selection pane="bottomLeft" activeCell="B82" sqref="B82"/>
      <selection pane="bottomRight" activeCell="B9" sqref="B9"/>
    </sheetView>
  </sheetViews>
  <sheetFormatPr defaultColWidth="8.88671875" defaultRowHeight="14.4" x14ac:dyDescent="0.3"/>
  <cols>
    <col min="1" max="1" width="27.6640625" style="3" bestFit="1" customWidth="1"/>
    <col min="2" max="11" width="13.44140625" style="3" bestFit="1" customWidth="1"/>
    <col min="12" max="16384" width="8.88671875" style="3"/>
  </cols>
  <sheetData>
    <row r="1" spans="1:11" s="1" customFormat="1" x14ac:dyDescent="0.3">
      <c r="A1" s="1" t="s">
        <v>0</v>
      </c>
      <c r="B1" s="1" t="s">
        <v>139</v>
      </c>
      <c r="E1" s="190" t="str">
        <f>IF(B2&lt;&gt;B3, "A NEW VERSION OF THE WORKSHEET IS AVAILABLE", "")</f>
        <v/>
      </c>
      <c r="F1" s="190"/>
      <c r="G1" s="190"/>
      <c r="H1" s="190"/>
      <c r="I1" s="190"/>
      <c r="J1" s="190"/>
      <c r="K1" s="190"/>
    </row>
    <row r="2" spans="1:11" x14ac:dyDescent="0.3">
      <c r="A2" s="1" t="s">
        <v>35</v>
      </c>
      <c r="B2" s="3">
        <v>2.1</v>
      </c>
      <c r="E2" s="191" t="s">
        <v>26</v>
      </c>
      <c r="F2" s="191"/>
      <c r="G2" s="191"/>
      <c r="H2" s="191"/>
      <c r="I2" s="191"/>
      <c r="J2" s="191"/>
      <c r="K2" s="191"/>
    </row>
    <row r="3" spans="1:11" x14ac:dyDescent="0.3">
      <c r="A3" s="1" t="s">
        <v>36</v>
      </c>
      <c r="B3" s="3">
        <v>2.1</v>
      </c>
    </row>
    <row r="4" spans="1:11" x14ac:dyDescent="0.3">
      <c r="A4" s="1"/>
    </row>
    <row r="5" spans="1:11" x14ac:dyDescent="0.3">
      <c r="A5" s="1" t="s">
        <v>38</v>
      </c>
    </row>
    <row r="6" spans="1:11" x14ac:dyDescent="0.3">
      <c r="A6" s="3" t="s">
        <v>32</v>
      </c>
      <c r="B6" s="3">
        <f>IF(B9&gt;0, B9/B8, 0)</f>
        <v>598.08129537638513</v>
      </c>
    </row>
    <row r="7" spans="1:11" x14ac:dyDescent="0.3">
      <c r="A7" s="3" t="s">
        <v>21</v>
      </c>
      <c r="B7">
        <v>5</v>
      </c>
    </row>
    <row r="8" spans="1:11" x14ac:dyDescent="0.3">
      <c r="A8" s="3" t="s">
        <v>33</v>
      </c>
      <c r="B8">
        <v>1570.2</v>
      </c>
    </row>
    <row r="9" spans="1:11" x14ac:dyDescent="0.3">
      <c r="A9" s="3" t="s">
        <v>48</v>
      </c>
      <c r="B9">
        <v>939107.25</v>
      </c>
    </row>
    <row r="15" spans="1:11" x14ac:dyDescent="0.3">
      <c r="A15" s="1" t="s">
        <v>27</v>
      </c>
    </row>
    <row r="16" spans="1:11" s="8" customFormat="1" x14ac:dyDescent="0.3">
      <c r="A16" s="7" t="s">
        <v>28</v>
      </c>
      <c r="B16" s="6">
        <v>42094</v>
      </c>
      <c r="C16" s="6">
        <v>42460</v>
      </c>
      <c r="D16" s="6">
        <v>42825</v>
      </c>
      <c r="E16" s="6">
        <v>43190</v>
      </c>
      <c r="F16" s="6">
        <v>43555</v>
      </c>
      <c r="G16" s="6">
        <v>43921</v>
      </c>
      <c r="H16" s="6">
        <v>44286</v>
      </c>
      <c r="I16" s="6">
        <v>44651</v>
      </c>
      <c r="J16" s="6">
        <v>45016</v>
      </c>
      <c r="K16" s="6">
        <v>45382</v>
      </c>
    </row>
    <row r="17" spans="1:11" s="4" customFormat="1" x14ac:dyDescent="0.3">
      <c r="A17" s="4" t="s">
        <v>2</v>
      </c>
      <c r="B17">
        <v>96100.7</v>
      </c>
      <c r="C17">
        <v>96532.1</v>
      </c>
      <c r="D17">
        <v>95468.3</v>
      </c>
      <c r="E17">
        <v>82638.8</v>
      </c>
      <c r="F17">
        <v>80780.2</v>
      </c>
      <c r="G17">
        <v>87539</v>
      </c>
      <c r="H17">
        <v>100615.8</v>
      </c>
      <c r="I17">
        <v>116546.9</v>
      </c>
      <c r="J17">
        <v>139144.79999999999</v>
      </c>
      <c r="K17">
        <v>149982.39999999999</v>
      </c>
    </row>
    <row r="18" spans="1:11" s="4" customFormat="1" x14ac:dyDescent="0.3">
      <c r="A18" s="3" t="s">
        <v>49</v>
      </c>
      <c r="B18">
        <v>774.4</v>
      </c>
      <c r="C18"/>
      <c r="D18"/>
      <c r="E18"/>
      <c r="F18"/>
      <c r="G18"/>
      <c r="H18"/>
      <c r="I18"/>
      <c r="J18"/>
      <c r="K18"/>
    </row>
    <row r="19" spans="1:11" s="4" customFormat="1" x14ac:dyDescent="0.3">
      <c r="A19" s="3" t="s">
        <v>50</v>
      </c>
      <c r="B19">
        <v>494.8</v>
      </c>
      <c r="C19"/>
      <c r="D19"/>
      <c r="E19"/>
      <c r="F19"/>
      <c r="G19"/>
      <c r="H19"/>
      <c r="I19"/>
      <c r="J19"/>
      <c r="K19"/>
    </row>
    <row r="20" spans="1:11" s="4" customFormat="1" x14ac:dyDescent="0.3">
      <c r="A20" s="58" t="s">
        <v>51</v>
      </c>
      <c r="B20">
        <v>8439.7999999999993</v>
      </c>
      <c r="C20">
        <v>6904.9</v>
      </c>
      <c r="D20">
        <v>7294.6</v>
      </c>
      <c r="E20">
        <v>6908.2</v>
      </c>
      <c r="F20">
        <v>8043.6</v>
      </c>
      <c r="G20">
        <v>9124.9</v>
      </c>
      <c r="H20">
        <v>9224</v>
      </c>
      <c r="I20">
        <v>10489.8</v>
      </c>
      <c r="J20">
        <v>13088.2</v>
      </c>
      <c r="K20">
        <v>12636.9</v>
      </c>
    </row>
    <row r="21" spans="1:11" s="4" customFormat="1" x14ac:dyDescent="0.3">
      <c r="A21" s="58" t="s">
        <v>52</v>
      </c>
      <c r="B21">
        <v>30935.599999999999</v>
      </c>
      <c r="C21">
        <v>34292.199999999997</v>
      </c>
      <c r="D21">
        <v>34082.699999999997</v>
      </c>
      <c r="E21">
        <v>30443.599999999999</v>
      </c>
      <c r="F21">
        <v>31849.8</v>
      </c>
      <c r="G21">
        <v>29935.1</v>
      </c>
      <c r="H21">
        <v>34945.5</v>
      </c>
      <c r="I21">
        <v>35639.800000000003</v>
      </c>
      <c r="J21">
        <v>34827.5</v>
      </c>
      <c r="K21">
        <v>36936.199999999997</v>
      </c>
    </row>
    <row r="22" spans="1:11" s="4" customFormat="1" x14ac:dyDescent="0.3">
      <c r="A22" s="58" t="s">
        <v>53</v>
      </c>
      <c r="B22">
        <v>4857</v>
      </c>
      <c r="C22">
        <v>4910.8</v>
      </c>
      <c r="D22">
        <v>4303.2</v>
      </c>
      <c r="E22">
        <v>3977.1</v>
      </c>
      <c r="F22">
        <v>3797.5</v>
      </c>
      <c r="G22">
        <v>3807.2</v>
      </c>
      <c r="H22">
        <v>4114.6000000000004</v>
      </c>
      <c r="I22">
        <v>4433.3</v>
      </c>
      <c r="J22">
        <v>4830.8</v>
      </c>
      <c r="K22">
        <v>5323.1</v>
      </c>
    </row>
    <row r="23" spans="1:11" s="4" customFormat="1" x14ac:dyDescent="0.3">
      <c r="A23" s="58" t="s">
        <v>54</v>
      </c>
      <c r="B23">
        <v>16459.599999999999</v>
      </c>
      <c r="C23">
        <v>10258.799999999999</v>
      </c>
      <c r="D23">
        <v>8626.7999999999993</v>
      </c>
      <c r="E23">
        <v>6023.1</v>
      </c>
      <c r="F23">
        <v>5337.7</v>
      </c>
      <c r="G23">
        <v>4643.2</v>
      </c>
      <c r="H23">
        <v>4787.8</v>
      </c>
      <c r="I23">
        <v>6413.6</v>
      </c>
      <c r="J23">
        <v>8593.2000000000007</v>
      </c>
      <c r="K23">
        <v>9636.1</v>
      </c>
    </row>
    <row r="24" spans="1:11" s="4" customFormat="1" x14ac:dyDescent="0.3">
      <c r="A24" s="58" t="s">
        <v>55</v>
      </c>
      <c r="B24">
        <v>1527.1</v>
      </c>
      <c r="C24">
        <v>6181.2</v>
      </c>
      <c r="D24">
        <v>5831.2</v>
      </c>
      <c r="E24">
        <v>5207.7</v>
      </c>
      <c r="F24">
        <v>5987.8</v>
      </c>
      <c r="G24">
        <v>3419.1</v>
      </c>
      <c r="H24">
        <v>2265</v>
      </c>
      <c r="I24">
        <v>2036.5</v>
      </c>
      <c r="J24">
        <v>6531.6</v>
      </c>
      <c r="K24">
        <v>7158.3</v>
      </c>
    </row>
    <row r="25" spans="1:11" s="4" customFormat="1" x14ac:dyDescent="0.3">
      <c r="A25" s="4" t="s">
        <v>5</v>
      </c>
      <c r="B25">
        <v>1242.5999999999999</v>
      </c>
      <c r="C25">
        <v>4858</v>
      </c>
      <c r="D25">
        <v>1713.1</v>
      </c>
      <c r="E25">
        <v>1756.5</v>
      </c>
      <c r="F25">
        <v>4474.1000000000004</v>
      </c>
      <c r="G25">
        <v>-37774.6</v>
      </c>
      <c r="H25">
        <v>-4215</v>
      </c>
      <c r="I25">
        <v>4656.1000000000004</v>
      </c>
      <c r="J25">
        <v>1018.9</v>
      </c>
      <c r="K25">
        <v>-3427.5</v>
      </c>
    </row>
    <row r="26" spans="1:11" s="4" customFormat="1" x14ac:dyDescent="0.3">
      <c r="A26" s="4" t="s">
        <v>6</v>
      </c>
      <c r="B26">
        <v>19858.3</v>
      </c>
      <c r="C26">
        <v>17449.8</v>
      </c>
      <c r="D26">
        <v>19773</v>
      </c>
      <c r="E26">
        <v>19243.099999999999</v>
      </c>
      <c r="F26">
        <v>21347.5</v>
      </c>
      <c r="G26">
        <v>27689.599999999999</v>
      </c>
      <c r="H26">
        <v>29404.400000000001</v>
      </c>
      <c r="I26">
        <v>33090.699999999997</v>
      </c>
      <c r="J26">
        <v>36431.800000000003</v>
      </c>
      <c r="K26">
        <v>39537.599999999999</v>
      </c>
    </row>
    <row r="27" spans="1:11" s="4" customFormat="1" x14ac:dyDescent="0.3">
      <c r="A27" s="4" t="s">
        <v>7</v>
      </c>
      <c r="B27">
        <v>4446.5</v>
      </c>
      <c r="C27">
        <v>8546.1</v>
      </c>
      <c r="D27">
        <v>9546.6</v>
      </c>
      <c r="E27">
        <v>9325.5</v>
      </c>
      <c r="F27">
        <v>10622.2</v>
      </c>
      <c r="G27">
        <v>13991.8</v>
      </c>
      <c r="H27">
        <v>15091</v>
      </c>
      <c r="I27">
        <v>16616.2</v>
      </c>
      <c r="J27">
        <v>19299.900000000001</v>
      </c>
      <c r="K27">
        <v>22647.7</v>
      </c>
    </row>
    <row r="28" spans="1:11" s="4" customFormat="1" x14ac:dyDescent="0.3">
      <c r="A28" s="4" t="s">
        <v>8</v>
      </c>
      <c r="B28">
        <v>10539.8</v>
      </c>
      <c r="C28">
        <v>12846.3</v>
      </c>
      <c r="D28">
        <v>7723.3</v>
      </c>
      <c r="E28">
        <v>3267</v>
      </c>
      <c r="F28">
        <v>-1731.8</v>
      </c>
      <c r="G28">
        <v>-42846.5</v>
      </c>
      <c r="H28">
        <v>-3431.5</v>
      </c>
      <c r="I28">
        <v>12483.1</v>
      </c>
      <c r="J28">
        <v>16560.7</v>
      </c>
      <c r="K28">
        <v>12679</v>
      </c>
    </row>
    <row r="29" spans="1:11" s="4" customFormat="1" x14ac:dyDescent="0.3">
      <c r="A29" s="4" t="s">
        <v>9</v>
      </c>
      <c r="B29">
        <v>5486.7</v>
      </c>
      <c r="C29">
        <v>5953.3</v>
      </c>
      <c r="D29">
        <v>3481.9</v>
      </c>
      <c r="E29">
        <v>1083.5</v>
      </c>
      <c r="F29">
        <v>-3419.3</v>
      </c>
      <c r="G29">
        <v>-12182.3</v>
      </c>
      <c r="H29">
        <v>8932.5</v>
      </c>
      <c r="I29">
        <v>4177.8999999999996</v>
      </c>
      <c r="J29">
        <v>4273.3</v>
      </c>
      <c r="K29">
        <v>4121</v>
      </c>
    </row>
    <row r="30" spans="1:11" s="4" customFormat="1" x14ac:dyDescent="0.3">
      <c r="A30" s="4" t="s">
        <v>10</v>
      </c>
      <c r="B30">
        <v>4620.8</v>
      </c>
      <c r="C30">
        <v>6076.7</v>
      </c>
      <c r="D30">
        <v>3799.8</v>
      </c>
      <c r="E30">
        <v>1099</v>
      </c>
      <c r="F30">
        <v>409.5</v>
      </c>
      <c r="G30">
        <v>-32183.200000000001</v>
      </c>
      <c r="H30">
        <v>-15083.5</v>
      </c>
      <c r="I30">
        <v>4254.8999999999996</v>
      </c>
      <c r="J30">
        <v>8345.9</v>
      </c>
      <c r="K30">
        <v>7467</v>
      </c>
    </row>
    <row r="31" spans="1:11" s="4" customFormat="1" x14ac:dyDescent="0.3">
      <c r="A31" s="4" t="s">
        <v>39</v>
      </c>
      <c r="B31">
        <v>1539</v>
      </c>
      <c r="C31">
        <v>543.65</v>
      </c>
      <c r="D31">
        <v>399.74</v>
      </c>
      <c r="E31">
        <v>2134.61</v>
      </c>
      <c r="F31">
        <v>999.35</v>
      </c>
      <c r="G31">
        <v>1091.1199999999999</v>
      </c>
      <c r="H31"/>
      <c r="I31">
        <v>1677</v>
      </c>
      <c r="J31">
        <v>2269.2800000000002</v>
      </c>
      <c r="K31">
        <v>4602.5600000000004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1" t="s">
        <v>29</v>
      </c>
    </row>
    <row r="41" spans="1:11" s="8" customFormat="1" x14ac:dyDescent="0.3">
      <c r="A41" s="7" t="s">
        <v>28</v>
      </c>
      <c r="B41" s="6">
        <v>44834</v>
      </c>
      <c r="C41" s="6">
        <v>44926</v>
      </c>
      <c r="D41" s="6">
        <v>45016</v>
      </c>
      <c r="E41" s="6">
        <v>45107</v>
      </c>
      <c r="F41" s="6">
        <v>45199</v>
      </c>
      <c r="G41" s="6">
        <v>45291</v>
      </c>
      <c r="H41" s="6">
        <v>45382</v>
      </c>
      <c r="I41" s="6">
        <v>45473</v>
      </c>
      <c r="J41" s="6">
        <v>45565</v>
      </c>
      <c r="K41" s="6">
        <v>45657</v>
      </c>
    </row>
    <row r="42" spans="1:11" s="4" customFormat="1" x14ac:dyDescent="0.3">
      <c r="A42" s="4" t="s">
        <v>2</v>
      </c>
      <c r="B42">
        <v>34526.800000000003</v>
      </c>
      <c r="C42">
        <v>35804.400000000001</v>
      </c>
      <c r="D42">
        <v>36009</v>
      </c>
      <c r="E42">
        <v>37440</v>
      </c>
      <c r="F42">
        <v>37043.800000000003</v>
      </c>
      <c r="G42">
        <v>37899.5</v>
      </c>
      <c r="H42">
        <v>37599.1</v>
      </c>
      <c r="I42">
        <v>38506.400000000001</v>
      </c>
      <c r="J42">
        <v>41473.300000000003</v>
      </c>
      <c r="K42">
        <v>45129.3</v>
      </c>
    </row>
    <row r="43" spans="1:11" s="4" customFormat="1" x14ac:dyDescent="0.3">
      <c r="A43" s="4" t="s">
        <v>3</v>
      </c>
      <c r="B43">
        <v>16933</v>
      </c>
      <c r="C43">
        <v>17719.599999999999</v>
      </c>
      <c r="D43">
        <v>17311.900000000001</v>
      </c>
      <c r="E43">
        <v>17841.5</v>
      </c>
      <c r="F43">
        <v>17530.099999999999</v>
      </c>
      <c r="G43">
        <v>18084.7</v>
      </c>
      <c r="H43">
        <v>18234.3</v>
      </c>
      <c r="I43">
        <v>18798.8</v>
      </c>
      <c r="J43">
        <v>19627.099999999999</v>
      </c>
      <c r="K43">
        <v>20532.7</v>
      </c>
    </row>
    <row r="44" spans="1:11" s="4" customFormat="1" x14ac:dyDescent="0.3">
      <c r="A44" s="4" t="s">
        <v>5</v>
      </c>
      <c r="B44">
        <v>558.6</v>
      </c>
      <c r="C44">
        <v>-412.2</v>
      </c>
      <c r="D44">
        <v>885.9</v>
      </c>
      <c r="E44">
        <v>-2478.1</v>
      </c>
      <c r="F44">
        <v>-653.9</v>
      </c>
      <c r="G44">
        <v>1012.8</v>
      </c>
      <c r="H44">
        <v>-1308.3</v>
      </c>
      <c r="I44">
        <v>2010.2</v>
      </c>
      <c r="J44">
        <v>474.9</v>
      </c>
      <c r="K44">
        <v>9675</v>
      </c>
    </row>
    <row r="45" spans="1:11" s="4" customFormat="1" x14ac:dyDescent="0.3">
      <c r="A45" s="4" t="s">
        <v>6</v>
      </c>
      <c r="B45">
        <v>8946.7999999999993</v>
      </c>
      <c r="C45">
        <v>9297.7000000000007</v>
      </c>
      <c r="D45">
        <v>9405.9</v>
      </c>
      <c r="E45">
        <v>9653.7999999999993</v>
      </c>
      <c r="F45">
        <v>9734.2999999999993</v>
      </c>
      <c r="G45">
        <v>10074.299999999999</v>
      </c>
      <c r="H45">
        <v>10075.200000000001</v>
      </c>
      <c r="I45">
        <v>10540.1</v>
      </c>
      <c r="J45">
        <v>11000</v>
      </c>
      <c r="K45">
        <v>11704.2</v>
      </c>
    </row>
    <row r="46" spans="1:11" s="4" customFormat="1" x14ac:dyDescent="0.3">
      <c r="A46" s="4" t="s">
        <v>7</v>
      </c>
      <c r="B46">
        <v>4940.3</v>
      </c>
      <c r="C46">
        <v>4685.6000000000004</v>
      </c>
      <c r="D46">
        <v>5163.1000000000004</v>
      </c>
      <c r="E46">
        <v>5613.7</v>
      </c>
      <c r="F46">
        <v>5185.8</v>
      </c>
      <c r="G46">
        <v>6644.9</v>
      </c>
      <c r="H46">
        <v>5203.3</v>
      </c>
      <c r="I46">
        <v>5152.3999999999996</v>
      </c>
      <c r="J46">
        <v>5423.7</v>
      </c>
      <c r="K46">
        <v>5675.5</v>
      </c>
    </row>
    <row r="47" spans="1:11" s="4" customFormat="1" x14ac:dyDescent="0.3">
      <c r="A47" s="4" t="s">
        <v>8</v>
      </c>
      <c r="B47">
        <v>4265.3</v>
      </c>
      <c r="C47">
        <v>3689.3</v>
      </c>
      <c r="D47">
        <v>5014</v>
      </c>
      <c r="E47">
        <v>1852.9</v>
      </c>
      <c r="F47">
        <v>3939.7</v>
      </c>
      <c r="G47">
        <v>4108.3999999999996</v>
      </c>
      <c r="H47">
        <v>2778</v>
      </c>
      <c r="I47">
        <v>6025.3</v>
      </c>
      <c r="J47">
        <v>5897.4</v>
      </c>
      <c r="K47">
        <v>16891.900000000001</v>
      </c>
    </row>
    <row r="48" spans="1:11" s="4" customFormat="1" x14ac:dyDescent="0.3">
      <c r="A48" s="4" t="s">
        <v>9</v>
      </c>
      <c r="B48">
        <v>1286.4000000000001</v>
      </c>
      <c r="C48">
        <v>1075.5999999999999</v>
      </c>
      <c r="D48">
        <v>788</v>
      </c>
      <c r="E48">
        <v>332.7</v>
      </c>
      <c r="F48">
        <v>1846.5</v>
      </c>
      <c r="G48">
        <v>1232</v>
      </c>
      <c r="H48">
        <v>709.8</v>
      </c>
      <c r="I48">
        <v>1307.8</v>
      </c>
      <c r="J48">
        <v>1744</v>
      </c>
      <c r="K48">
        <v>757.3</v>
      </c>
    </row>
    <row r="49" spans="1:11" s="4" customFormat="1" x14ac:dyDescent="0.3">
      <c r="A49" s="4" t="s">
        <v>10</v>
      </c>
      <c r="B49">
        <v>2145.1999999999998</v>
      </c>
      <c r="C49">
        <v>1588.2</v>
      </c>
      <c r="D49">
        <v>3005.6</v>
      </c>
      <c r="E49">
        <v>1612.5</v>
      </c>
      <c r="F49">
        <v>1340.7</v>
      </c>
      <c r="G49">
        <v>2442.1999999999998</v>
      </c>
      <c r="H49">
        <v>2071.6</v>
      </c>
      <c r="I49">
        <v>4159.8999999999996</v>
      </c>
      <c r="J49">
        <v>3593.2</v>
      </c>
      <c r="K49">
        <v>14781.2</v>
      </c>
    </row>
    <row r="50" spans="1:11" x14ac:dyDescent="0.3">
      <c r="A50" s="4" t="s">
        <v>4</v>
      </c>
      <c r="B50">
        <v>17593.8</v>
      </c>
      <c r="C50">
        <v>18084.8</v>
      </c>
      <c r="D50">
        <v>18697.099999999999</v>
      </c>
      <c r="E50">
        <v>19598.5</v>
      </c>
      <c r="F50">
        <v>19513.7</v>
      </c>
      <c r="G50">
        <v>19814.8</v>
      </c>
      <c r="H50">
        <v>19364.8</v>
      </c>
      <c r="I50">
        <v>19707.599999999999</v>
      </c>
      <c r="J50">
        <v>21846.2</v>
      </c>
      <c r="K50">
        <v>24596.6</v>
      </c>
    </row>
    <row r="51" spans="1:11" x14ac:dyDescent="0.3">
      <c r="A51" s="4"/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1" t="s">
        <v>30</v>
      </c>
    </row>
    <row r="56" spans="1:11" s="8" customFormat="1" x14ac:dyDescent="0.3">
      <c r="A56" s="7" t="s">
        <v>28</v>
      </c>
      <c r="B56" s="6">
        <v>42094</v>
      </c>
      <c r="C56" s="6">
        <v>42460</v>
      </c>
      <c r="D56" s="6">
        <v>42825</v>
      </c>
      <c r="E56" s="6">
        <v>43190</v>
      </c>
      <c r="F56" s="6">
        <v>43555</v>
      </c>
      <c r="G56" s="6">
        <v>43921</v>
      </c>
      <c r="H56" s="6">
        <v>44286</v>
      </c>
      <c r="I56" s="6">
        <v>44651</v>
      </c>
      <c r="J56" s="6">
        <v>45016</v>
      </c>
      <c r="K56" s="6">
        <v>45382</v>
      </c>
    </row>
    <row r="57" spans="1:11" x14ac:dyDescent="0.3">
      <c r="A57" s="4" t="s">
        <v>15</v>
      </c>
      <c r="B57">
        <v>1998.7</v>
      </c>
      <c r="C57">
        <v>1998.7</v>
      </c>
      <c r="D57">
        <v>1998.7</v>
      </c>
      <c r="E57">
        <v>1998.7</v>
      </c>
      <c r="F57">
        <v>1998.7</v>
      </c>
      <c r="G57">
        <v>2727.8</v>
      </c>
      <c r="H57">
        <v>2746</v>
      </c>
      <c r="I57">
        <v>2795</v>
      </c>
      <c r="J57">
        <v>2836.6</v>
      </c>
      <c r="K57">
        <v>2876.6</v>
      </c>
    </row>
    <row r="58" spans="1:11" x14ac:dyDescent="0.3">
      <c r="A58" s="4" t="s">
        <v>16</v>
      </c>
      <c r="B58">
        <v>37778.300000000003</v>
      </c>
      <c r="C58">
        <v>64770.6</v>
      </c>
      <c r="D58">
        <v>65457.599999999999</v>
      </c>
      <c r="E58">
        <v>67535.7</v>
      </c>
      <c r="F58">
        <v>69423.5</v>
      </c>
      <c r="G58">
        <v>74417</v>
      </c>
      <c r="H58">
        <v>56206.7</v>
      </c>
      <c r="I58">
        <v>63759.3</v>
      </c>
      <c r="J58">
        <v>74726.3</v>
      </c>
      <c r="K58">
        <v>79142.2</v>
      </c>
    </row>
    <row r="59" spans="1:11" x14ac:dyDescent="0.3">
      <c r="A59" s="4" t="s">
        <v>40</v>
      </c>
      <c r="B59">
        <v>83415.100000000006</v>
      </c>
      <c r="C59">
        <v>100646.5</v>
      </c>
      <c r="D59">
        <v>107287.6</v>
      </c>
      <c r="E59">
        <v>111333.5</v>
      </c>
      <c r="F59">
        <v>125428.3</v>
      </c>
      <c r="G59">
        <v>148228.1</v>
      </c>
      <c r="H59">
        <v>162785.20000000001</v>
      </c>
      <c r="I59">
        <v>169677.9</v>
      </c>
      <c r="J59">
        <v>226020.3</v>
      </c>
      <c r="K59">
        <v>215592.3</v>
      </c>
    </row>
    <row r="60" spans="1:11" x14ac:dyDescent="0.3">
      <c r="A60" s="4" t="s">
        <v>41</v>
      </c>
      <c r="B60">
        <v>58746.9</v>
      </c>
      <c r="C60">
        <v>57056.2</v>
      </c>
      <c r="D60">
        <v>57578.400000000001</v>
      </c>
      <c r="E60">
        <v>68653.100000000006</v>
      </c>
      <c r="F60">
        <v>77175.8</v>
      </c>
      <c r="G60">
        <v>133718.39999999999</v>
      </c>
      <c r="H60">
        <v>122679.2</v>
      </c>
      <c r="I60">
        <v>124975</v>
      </c>
      <c r="J60">
        <v>140973.79999999999</v>
      </c>
      <c r="K60">
        <v>144408.1</v>
      </c>
    </row>
    <row r="61" spans="1:11" s="1" customFormat="1" x14ac:dyDescent="0.3">
      <c r="A61" s="1" t="s">
        <v>17</v>
      </c>
      <c r="B61">
        <v>181939</v>
      </c>
      <c r="C61">
        <v>224472</v>
      </c>
      <c r="D61">
        <v>232322.3</v>
      </c>
      <c r="E61">
        <v>249521</v>
      </c>
      <c r="F61">
        <v>274026.3</v>
      </c>
      <c r="G61">
        <v>359091.3</v>
      </c>
      <c r="H61">
        <v>344417.1</v>
      </c>
      <c r="I61">
        <v>361207.2</v>
      </c>
      <c r="J61">
        <v>444557</v>
      </c>
      <c r="K61">
        <v>442019.2</v>
      </c>
    </row>
    <row r="62" spans="1:11" x14ac:dyDescent="0.3">
      <c r="A62" s="4" t="s">
        <v>18</v>
      </c>
      <c r="B62">
        <v>124278.6</v>
      </c>
      <c r="C62">
        <v>172292.8</v>
      </c>
      <c r="D62">
        <v>178235.1</v>
      </c>
      <c r="E62">
        <v>187200.4</v>
      </c>
      <c r="F62">
        <v>200831.5</v>
      </c>
      <c r="G62">
        <v>229255.5</v>
      </c>
      <c r="H62">
        <v>223479.6</v>
      </c>
      <c r="I62">
        <v>244083.3</v>
      </c>
      <c r="J62">
        <v>277393.8</v>
      </c>
      <c r="K62">
        <v>303303.09999999998</v>
      </c>
    </row>
    <row r="63" spans="1:11" x14ac:dyDescent="0.3">
      <c r="A63" s="4" t="s">
        <v>19</v>
      </c>
      <c r="B63">
        <v>17414.8</v>
      </c>
      <c r="C63">
        <v>5702</v>
      </c>
      <c r="D63">
        <v>10838.5</v>
      </c>
      <c r="E63">
        <v>9751.2000000000007</v>
      </c>
      <c r="F63">
        <v>9634.2000000000007</v>
      </c>
      <c r="G63">
        <v>4282.3</v>
      </c>
      <c r="H63">
        <v>5726.5</v>
      </c>
      <c r="I63">
        <v>5954.7</v>
      </c>
      <c r="J63">
        <v>49425.4</v>
      </c>
      <c r="K63">
        <v>16904.099999999999</v>
      </c>
    </row>
    <row r="64" spans="1:11" x14ac:dyDescent="0.3">
      <c r="A64" s="4" t="s">
        <v>20</v>
      </c>
      <c r="B64">
        <v>10752</v>
      </c>
      <c r="C64">
        <v>11977</v>
      </c>
      <c r="D64">
        <v>14338.7</v>
      </c>
      <c r="E64">
        <v>16158.6</v>
      </c>
      <c r="F64">
        <v>15711</v>
      </c>
      <c r="G64">
        <v>25476.5</v>
      </c>
      <c r="H64">
        <v>27550.400000000001</v>
      </c>
      <c r="I64">
        <v>29349.1</v>
      </c>
      <c r="J64">
        <v>32953.9</v>
      </c>
      <c r="K64">
        <v>31602.3</v>
      </c>
    </row>
    <row r="65" spans="1:11" x14ac:dyDescent="0.3">
      <c r="A65" s="4" t="s">
        <v>42</v>
      </c>
      <c r="B65">
        <v>29493.599999999999</v>
      </c>
      <c r="C65">
        <v>34500.199999999997</v>
      </c>
      <c r="D65">
        <v>28910</v>
      </c>
      <c r="E65">
        <v>36410.800000000003</v>
      </c>
      <c r="F65">
        <v>47849.599999999999</v>
      </c>
      <c r="G65">
        <v>100077</v>
      </c>
      <c r="H65">
        <v>87660.6</v>
      </c>
      <c r="I65">
        <v>81820.100000000006</v>
      </c>
      <c r="J65">
        <v>84783.9</v>
      </c>
      <c r="K65">
        <v>90209.7</v>
      </c>
    </row>
    <row r="66" spans="1:11" s="1" customFormat="1" x14ac:dyDescent="0.3">
      <c r="A66" s="1" t="s">
        <v>17</v>
      </c>
      <c r="B66">
        <v>181939</v>
      </c>
      <c r="C66">
        <v>224472</v>
      </c>
      <c r="D66">
        <v>232322.3</v>
      </c>
      <c r="E66">
        <v>249521</v>
      </c>
      <c r="F66">
        <v>274026.3</v>
      </c>
      <c r="G66">
        <v>359091.3</v>
      </c>
      <c r="H66">
        <v>344417.1</v>
      </c>
      <c r="I66">
        <v>361207.2</v>
      </c>
      <c r="J66">
        <v>444557</v>
      </c>
      <c r="K66">
        <v>442019.2</v>
      </c>
    </row>
    <row r="67" spans="1:11" s="4" customFormat="1" x14ac:dyDescent="0.3">
      <c r="A67" s="4" t="s">
        <v>47</v>
      </c>
      <c r="B67">
        <v>5207.2</v>
      </c>
      <c r="C67">
        <v>5503.9</v>
      </c>
      <c r="D67">
        <v>4740.2</v>
      </c>
      <c r="E67">
        <v>5883</v>
      </c>
      <c r="F67">
        <v>4300.6000000000004</v>
      </c>
      <c r="G67">
        <v>4605.8</v>
      </c>
      <c r="H67">
        <v>3637.7</v>
      </c>
      <c r="I67">
        <v>4056.2</v>
      </c>
      <c r="J67">
        <v>3981.5</v>
      </c>
      <c r="K67">
        <v>4727.7</v>
      </c>
    </row>
    <row r="68" spans="1:11" x14ac:dyDescent="0.3">
      <c r="A68" s="4" t="s">
        <v>34</v>
      </c>
      <c r="B68">
        <v>133.9</v>
      </c>
      <c r="C68">
        <v>169.2</v>
      </c>
      <c r="D68">
        <v>48.8</v>
      </c>
      <c r="E68">
        <v>69.3</v>
      </c>
      <c r="F68">
        <v>88.4</v>
      </c>
      <c r="G68">
        <v>156.9</v>
      </c>
      <c r="H68">
        <v>266</v>
      </c>
      <c r="I68">
        <v>375</v>
      </c>
      <c r="J68">
        <v>257.60000000000002</v>
      </c>
      <c r="K68">
        <v>363.9</v>
      </c>
    </row>
    <row r="69" spans="1:11" x14ac:dyDescent="0.3">
      <c r="A69" s="3" t="s">
        <v>56</v>
      </c>
      <c r="B69">
        <v>2083.1</v>
      </c>
      <c r="C69">
        <v>5098.7</v>
      </c>
      <c r="D69">
        <v>5098.3</v>
      </c>
      <c r="E69">
        <v>6670.6</v>
      </c>
      <c r="F69">
        <v>8064</v>
      </c>
      <c r="G69">
        <v>15892.7</v>
      </c>
      <c r="H69">
        <v>13466.1</v>
      </c>
      <c r="I69">
        <v>13494.3</v>
      </c>
      <c r="J69">
        <v>13418.6</v>
      </c>
      <c r="K69">
        <v>16339.9</v>
      </c>
    </row>
    <row r="70" spans="1:11" x14ac:dyDescent="0.3">
      <c r="A70" s="3" t="s">
        <v>43</v>
      </c>
      <c r="B70">
        <v>3997400102</v>
      </c>
      <c r="C70">
        <v>3997400102</v>
      </c>
      <c r="D70">
        <v>3997400102</v>
      </c>
      <c r="E70">
        <v>3997400102</v>
      </c>
      <c r="F70">
        <v>3997400107</v>
      </c>
      <c r="G70">
        <v>5455557355</v>
      </c>
      <c r="H70">
        <v>5492027268</v>
      </c>
      <c r="I70">
        <v>5884314930</v>
      </c>
      <c r="J70">
        <v>5967422312</v>
      </c>
      <c r="K70">
        <v>6047374739</v>
      </c>
    </row>
    <row r="71" spans="1:11" x14ac:dyDescent="0.3">
      <c r="A71" s="3" t="s">
        <v>44</v>
      </c>
      <c r="G71"/>
    </row>
    <row r="72" spans="1:11" x14ac:dyDescent="0.3">
      <c r="A72" s="3" t="s">
        <v>57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3" spans="1:11" x14ac:dyDescent="0.3">
      <c r="A73" s="65" t="s">
        <v>164</v>
      </c>
      <c r="B73" s="120">
        <v>1494</v>
      </c>
      <c r="C73" s="66">
        <v>-350</v>
      </c>
      <c r="D73" s="66">
        <v>764</v>
      </c>
      <c r="E73" s="120">
        <v>1512</v>
      </c>
      <c r="F73" s="120">
        <v>2158</v>
      </c>
      <c r="G73" s="66">
        <v>-248</v>
      </c>
      <c r="H73" s="66">
        <v>690</v>
      </c>
      <c r="I73" s="66">
        <v>-488</v>
      </c>
      <c r="J73" s="120">
        <v>1267</v>
      </c>
      <c r="K73" s="66">
        <v>640</v>
      </c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31</v>
      </c>
    </row>
    <row r="81" spans="1:11" s="8" customFormat="1" x14ac:dyDescent="0.3">
      <c r="A81" s="7" t="s">
        <v>28</v>
      </c>
      <c r="B81" s="6">
        <v>42094</v>
      </c>
      <c r="C81" s="6">
        <v>42460</v>
      </c>
      <c r="D81" s="6">
        <v>42825</v>
      </c>
      <c r="E81" s="6">
        <v>43190</v>
      </c>
      <c r="F81" s="6">
        <v>43555</v>
      </c>
      <c r="G81" s="6">
        <v>43921</v>
      </c>
      <c r="H81" s="6">
        <v>44286</v>
      </c>
      <c r="I81" s="6">
        <v>44651</v>
      </c>
      <c r="J81" s="6">
        <v>45016</v>
      </c>
      <c r="K81" s="6">
        <v>45382</v>
      </c>
    </row>
    <row r="82" spans="1:11" s="1" customFormat="1" x14ac:dyDescent="0.3">
      <c r="A82" s="4" t="s">
        <v>22</v>
      </c>
      <c r="B82">
        <v>28059</v>
      </c>
      <c r="C82">
        <v>27942.3</v>
      </c>
      <c r="D82">
        <v>28279.9</v>
      </c>
      <c r="E82">
        <v>29853.8</v>
      </c>
      <c r="F82">
        <v>20070.2</v>
      </c>
      <c r="G82">
        <v>18128.7</v>
      </c>
      <c r="H82">
        <v>48205</v>
      </c>
      <c r="I82">
        <v>55016.6</v>
      </c>
      <c r="J82">
        <v>65324.6</v>
      </c>
      <c r="K82">
        <v>78898.2</v>
      </c>
    </row>
    <row r="83" spans="1:11" s="4" customFormat="1" x14ac:dyDescent="0.3">
      <c r="A83" s="4" t="s">
        <v>23</v>
      </c>
      <c r="B83">
        <v>-22301.1</v>
      </c>
      <c r="C83">
        <v>-14091.4</v>
      </c>
      <c r="D83">
        <v>-30680</v>
      </c>
      <c r="E83">
        <v>-27939.5</v>
      </c>
      <c r="F83">
        <v>-28285.599999999999</v>
      </c>
      <c r="G83">
        <v>-29598.5</v>
      </c>
      <c r="H83">
        <v>-27285.599999999999</v>
      </c>
      <c r="I83">
        <v>-41477.699999999997</v>
      </c>
      <c r="J83">
        <v>-39232.400000000001</v>
      </c>
      <c r="K83">
        <v>-51089</v>
      </c>
    </row>
    <row r="84" spans="1:11" s="4" customFormat="1" x14ac:dyDescent="0.3">
      <c r="A84" s="4" t="s">
        <v>24</v>
      </c>
      <c r="B84">
        <v>-9672.4</v>
      </c>
      <c r="C84">
        <v>-11946.1</v>
      </c>
      <c r="D84">
        <v>-351.4</v>
      </c>
      <c r="E84">
        <v>1920.5</v>
      </c>
      <c r="F84">
        <v>9463.7999999999993</v>
      </c>
      <c r="G84">
        <v>19144.400000000001</v>
      </c>
      <c r="H84">
        <v>-24910.3</v>
      </c>
      <c r="I84">
        <v>-15203.2</v>
      </c>
      <c r="J84">
        <v>-24469.5</v>
      </c>
      <c r="K84">
        <v>-27778.5</v>
      </c>
    </row>
    <row r="85" spans="1:11" s="1" customFormat="1" x14ac:dyDescent="0.3">
      <c r="A85" s="4" t="s">
        <v>25</v>
      </c>
      <c r="B85">
        <v>-3914.5</v>
      </c>
      <c r="C85">
        <v>1904.8</v>
      </c>
      <c r="D85">
        <v>-2751.5</v>
      </c>
      <c r="E85">
        <v>3834.8</v>
      </c>
      <c r="F85">
        <v>1248.4000000000001</v>
      </c>
      <c r="G85">
        <v>7674.6</v>
      </c>
      <c r="H85">
        <v>-3990.9</v>
      </c>
      <c r="I85">
        <v>-1664.3</v>
      </c>
      <c r="J85">
        <v>1622.7</v>
      </c>
      <c r="K85">
        <v>30.7</v>
      </c>
    </row>
    <row r="86" spans="1:11" x14ac:dyDescent="0.3">
      <c r="A86" s="4"/>
    </row>
    <row r="87" spans="1:11" x14ac:dyDescent="0.3">
      <c r="A87" s="4" t="s">
        <v>138</v>
      </c>
    </row>
    <row r="88" spans="1:11" x14ac:dyDescent="0.3">
      <c r="A88" s="4" t="s">
        <v>137</v>
      </c>
    </row>
    <row r="89" spans="1:11" x14ac:dyDescent="0.3">
      <c r="A89" s="4"/>
    </row>
    <row r="90" spans="1:11" s="1" customFormat="1" x14ac:dyDescent="0.3">
      <c r="A90" s="1" t="s">
        <v>46</v>
      </c>
      <c r="B90">
        <v>354.46</v>
      </c>
      <c r="C90">
        <v>316.14999999999998</v>
      </c>
      <c r="D90">
        <v>315.48</v>
      </c>
      <c r="E90">
        <v>359.33</v>
      </c>
      <c r="F90">
        <v>300.20999999999998</v>
      </c>
      <c r="G90">
        <v>432.77</v>
      </c>
      <c r="H90">
        <v>507.76</v>
      </c>
      <c r="I90">
        <v>754.95</v>
      </c>
      <c r="J90">
        <v>749</v>
      </c>
      <c r="K90">
        <v>1228.5999999999999</v>
      </c>
    </row>
    <row r="92" spans="1:11" s="1" customFormat="1" x14ac:dyDescent="0.3">
      <c r="A92" s="1" t="s">
        <v>45</v>
      </c>
    </row>
    <row r="93" spans="1:11" x14ac:dyDescent="0.3">
      <c r="A93" s="3" t="s">
        <v>58</v>
      </c>
      <c r="B93" s="9">
        <v>549.75</v>
      </c>
      <c r="C93" s="9">
        <v>549.75</v>
      </c>
      <c r="D93" s="9">
        <v>549.75</v>
      </c>
      <c r="E93" s="9">
        <v>549.75</v>
      </c>
      <c r="F93" s="9">
        <v>549.75</v>
      </c>
      <c r="G93" s="9">
        <v>584.52</v>
      </c>
      <c r="H93" s="9">
        <v>588.42999999999995</v>
      </c>
      <c r="I93" s="9">
        <v>588.42999999999995</v>
      </c>
      <c r="J93" s="9">
        <v>557.51</v>
      </c>
      <c r="K93" s="9">
        <v>565.51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421C242C-5315-4516-A818-4778D3037859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F18A-8DDA-4DF4-97FE-6CF3CF01370D}">
  <dimension ref="A3:M36"/>
  <sheetViews>
    <sheetView showGridLines="0" tabSelected="1" zoomScale="77" workbookViewId="0">
      <selection activeCell="N19" sqref="N19"/>
    </sheetView>
  </sheetViews>
  <sheetFormatPr defaultRowHeight="14.4" x14ac:dyDescent="0.3"/>
  <cols>
    <col min="1" max="1" width="19.6640625" customWidth="1"/>
    <col min="2" max="2" width="28.6640625" customWidth="1"/>
    <col min="3" max="3" width="22" customWidth="1"/>
    <col min="4" max="4" width="21.88671875" customWidth="1"/>
    <col min="5" max="5" width="18.5546875" customWidth="1"/>
    <col min="6" max="6" width="20" customWidth="1"/>
    <col min="7" max="7" width="26.88671875" customWidth="1"/>
    <col min="8" max="8" width="22.33203125" customWidth="1"/>
    <col min="9" max="9" width="14.33203125" customWidth="1"/>
    <col min="10" max="10" width="19.109375" customWidth="1"/>
  </cols>
  <sheetData>
    <row r="3" spans="2:13" ht="16.2" thickBot="1" x14ac:dyDescent="0.35">
      <c r="B3" s="194"/>
      <c r="C3" s="194"/>
      <c r="D3" s="194"/>
      <c r="E3" s="194"/>
      <c r="F3" s="194"/>
      <c r="H3" s="130" t="s">
        <v>264</v>
      </c>
    </row>
    <row r="4" spans="2:13" ht="15.6" thickTop="1" thickBot="1" x14ac:dyDescent="0.35">
      <c r="B4" s="180" t="s">
        <v>319</v>
      </c>
      <c r="C4" s="180" t="s">
        <v>316</v>
      </c>
      <c r="D4" s="180" t="s">
        <v>315</v>
      </c>
      <c r="E4" s="180" t="s">
        <v>317</v>
      </c>
      <c r="F4" s="180" t="s">
        <v>318</v>
      </c>
      <c r="H4" s="2" t="s">
        <v>269</v>
      </c>
    </row>
    <row r="5" spans="2:13" ht="15.6" thickTop="1" thickBot="1" x14ac:dyDescent="0.35">
      <c r="B5" s="172" t="s">
        <v>244</v>
      </c>
      <c r="C5" s="173">
        <f>Airtel!K95-(Airtel!K89*(1-Airtel!D122))+Airtel!K22</f>
        <v>228277.27313600003</v>
      </c>
      <c r="D5" s="173">
        <f>'Tata Comm'!K93-('Tata Comm'!K87*(1-'Tata Comm'!D120))+'Tata Comm'!K22</f>
        <v>7504.2196719999984</v>
      </c>
      <c r="E5" s="173">
        <f>C5+D5</f>
        <v>235781.49280800004</v>
      </c>
      <c r="F5" s="173">
        <f>'Combined Entity '!L23-'Combined Entity '!L15*(1-'Combined Entity '!E28)+'Combined Entity '!Q28</f>
        <v>256115.96030799998</v>
      </c>
      <c r="H5" s="74" t="s">
        <v>266</v>
      </c>
    </row>
    <row r="6" spans="2:13" ht="15.6" thickTop="1" thickBot="1" x14ac:dyDescent="0.35">
      <c r="B6" s="172" t="s">
        <v>245</v>
      </c>
      <c r="C6" s="174">
        <f>Airtel!R78</f>
        <v>0.25</v>
      </c>
      <c r="D6" s="174">
        <f>'Tata Comm'!R77</f>
        <v>0.1</v>
      </c>
      <c r="E6" s="176">
        <f>C6*($D$28/($D$28+$F$28))+D6*($F$28/($D$28+$F$28))</f>
        <v>0.24278230912782214</v>
      </c>
      <c r="F6" s="176">
        <v>0.25</v>
      </c>
    </row>
    <row r="7" spans="2:13" ht="15.6" thickTop="1" thickBot="1" x14ac:dyDescent="0.35">
      <c r="B7" s="172" t="s">
        <v>246</v>
      </c>
      <c r="C7" s="175">
        <f>Airtel!P122</f>
        <v>0.34</v>
      </c>
      <c r="D7" s="175">
        <f>'Tata Comm'!P120</f>
        <v>0.56999999999999995</v>
      </c>
      <c r="E7" s="175"/>
      <c r="F7" s="175"/>
    </row>
    <row r="8" spans="2:13" ht="15.6" thickTop="1" thickBot="1" x14ac:dyDescent="0.35">
      <c r="B8" s="172" t="s">
        <v>247</v>
      </c>
      <c r="C8" s="176">
        <f>C16</f>
        <v>8.7445455164179994E-2</v>
      </c>
      <c r="D8" s="176">
        <f>D16</f>
        <v>6.3655502996122201E-2</v>
      </c>
      <c r="E8" s="176">
        <f>C8*($D$28/($D$28+$F$28))+D8*($F$28/($D$28+$F$28))</f>
        <v>8.6300731693427071E-2</v>
      </c>
      <c r="F8" s="176">
        <f>E8</f>
        <v>8.6300731693427071E-2</v>
      </c>
      <c r="H8" s="186" t="s">
        <v>272</v>
      </c>
      <c r="I8" s="186"/>
    </row>
    <row r="9" spans="2:13" ht="15.6" thickTop="1" thickBot="1" x14ac:dyDescent="0.35">
      <c r="B9" s="172" t="s">
        <v>248</v>
      </c>
      <c r="C9" s="177">
        <f>Airtel!P131</f>
        <v>6.7500000000000004E-2</v>
      </c>
      <c r="D9" s="177">
        <f>C9</f>
        <v>6.7500000000000004E-2</v>
      </c>
      <c r="E9" s="177">
        <f t="shared" ref="E9:F9" si="0">D9</f>
        <v>6.7500000000000004E-2</v>
      </c>
      <c r="F9" s="177">
        <f t="shared" si="0"/>
        <v>6.7500000000000004E-2</v>
      </c>
      <c r="H9" s="129" t="s">
        <v>262</v>
      </c>
      <c r="I9" s="147">
        <f>1575</f>
        <v>1575</v>
      </c>
    </row>
    <row r="10" spans="2:13" ht="15" thickTop="1" x14ac:dyDescent="0.3">
      <c r="H10" s="129" t="s">
        <v>234</v>
      </c>
      <c r="I10" s="147">
        <f>1319</f>
        <v>1319</v>
      </c>
    </row>
    <row r="11" spans="2:13" x14ac:dyDescent="0.3">
      <c r="B11" s="123" t="s">
        <v>249</v>
      </c>
      <c r="C11" s="142">
        <f>C5/578</f>
        <v>394.94337912802774</v>
      </c>
      <c r="D11" s="142">
        <f>D5/28.4</f>
        <v>264.23308704225349</v>
      </c>
      <c r="E11" s="142"/>
      <c r="F11" s="134"/>
      <c r="M11" t="s">
        <v>270</v>
      </c>
    </row>
    <row r="12" spans="2:13" x14ac:dyDescent="0.3">
      <c r="M12" t="str">
        <f>D32</f>
        <v>% Premium over the Target's Computed Enterprise Value</v>
      </c>
    </row>
    <row r="14" spans="2:13" x14ac:dyDescent="0.3">
      <c r="B14" s="110" t="s">
        <v>250</v>
      </c>
      <c r="C14" s="125">
        <v>0.03</v>
      </c>
      <c r="D14" s="125">
        <v>0.03</v>
      </c>
      <c r="E14" s="96"/>
      <c r="F14" s="125">
        <v>0.03</v>
      </c>
    </row>
    <row r="15" spans="2:13" x14ac:dyDescent="0.3">
      <c r="B15" s="96"/>
      <c r="C15" s="96"/>
      <c r="D15" s="96"/>
      <c r="E15" s="96"/>
      <c r="F15" s="96"/>
    </row>
    <row r="16" spans="2:13" x14ac:dyDescent="0.3">
      <c r="B16" s="96" t="s">
        <v>206</v>
      </c>
      <c r="C16" s="98">
        <f>Airtel!P127</f>
        <v>8.7445455164179994E-2</v>
      </c>
      <c r="D16" s="98">
        <f>'Tata Comm'!P127</f>
        <v>6.3655502996122201E-2</v>
      </c>
      <c r="E16" s="98">
        <f>AVERAGE(C16:D16)</f>
        <v>7.5550479080151098E-2</v>
      </c>
      <c r="F16" s="98">
        <f>F8</f>
        <v>8.6300731693427071E-2</v>
      </c>
    </row>
    <row r="22" spans="2:10" x14ac:dyDescent="0.3">
      <c r="B22" s="124" t="s">
        <v>251</v>
      </c>
      <c r="C22" s="124" t="s">
        <v>252</v>
      </c>
      <c r="D22" s="124" t="s">
        <v>253</v>
      </c>
      <c r="E22" s="124" t="s">
        <v>254</v>
      </c>
      <c r="F22" s="124" t="s">
        <v>255</v>
      </c>
      <c r="G22" s="124" t="s">
        <v>256</v>
      </c>
      <c r="H22" s="124" t="s">
        <v>257</v>
      </c>
      <c r="I22" s="124" t="s">
        <v>258</v>
      </c>
      <c r="J22" s="124" t="s">
        <v>259</v>
      </c>
    </row>
    <row r="23" spans="2:10" x14ac:dyDescent="0.3">
      <c r="B23" s="126">
        <v>1</v>
      </c>
      <c r="C23" s="131">
        <f>C5*(1+C6)</f>
        <v>285346.59142000007</v>
      </c>
      <c r="D23" s="131"/>
      <c r="E23" s="131">
        <f>D5*(1+D6)</f>
        <v>8254.6416391999992</v>
      </c>
      <c r="F23" s="131"/>
      <c r="G23" s="131">
        <f>C23+E23</f>
        <v>293601.23305920005</v>
      </c>
      <c r="H23" s="131"/>
      <c r="I23" s="131">
        <f>F5</f>
        <v>256115.96030799998</v>
      </c>
      <c r="J23" s="131"/>
    </row>
    <row r="24" spans="2:10" x14ac:dyDescent="0.3">
      <c r="B24" s="126">
        <v>2</v>
      </c>
      <c r="C24" s="131">
        <f>C23*(1+C6)</f>
        <v>356683.23927500006</v>
      </c>
      <c r="D24" s="131"/>
      <c r="E24" s="131">
        <f>E23*(1+D6)</f>
        <v>9080.1058031199991</v>
      </c>
      <c r="F24" s="131"/>
      <c r="G24" s="131">
        <f>C24+E24</f>
        <v>365763.34507812007</v>
      </c>
      <c r="H24" s="131"/>
      <c r="I24" s="131">
        <f>I23*(1+$F$6)</f>
        <v>320144.95038499997</v>
      </c>
      <c r="J24" s="131"/>
    </row>
    <row r="25" spans="2:10" x14ac:dyDescent="0.3">
      <c r="B25" s="126">
        <v>3</v>
      </c>
      <c r="C25" s="131">
        <f t="shared" ref="C25:C27" si="1">C24*(1+C7)</f>
        <v>477955.54062850011</v>
      </c>
      <c r="D25" s="131"/>
      <c r="E25" s="131">
        <f t="shared" ref="E25:E27" si="2">E24*(1+D7)</f>
        <v>14255.766110898398</v>
      </c>
      <c r="F25" s="131"/>
      <c r="G25" s="131">
        <f>C25+E25</f>
        <v>492211.30673939851</v>
      </c>
      <c r="H25" s="131"/>
      <c r="I25" s="131">
        <f t="shared" ref="I25:I27" si="3">I24*(1+$F$6)</f>
        <v>400181.18798125</v>
      </c>
      <c r="J25" s="131"/>
    </row>
    <row r="26" spans="2:10" x14ac:dyDescent="0.3">
      <c r="B26" s="126">
        <v>4</v>
      </c>
      <c r="C26" s="131">
        <f t="shared" si="1"/>
        <v>519750.580427001</v>
      </c>
      <c r="D26" s="131"/>
      <c r="E26" s="131">
        <f t="shared" si="2"/>
        <v>15163.224073282707</v>
      </c>
      <c r="F26" s="131"/>
      <c r="G26" s="131">
        <f>C26+E26</f>
        <v>534913.80450028367</v>
      </c>
      <c r="H26" s="131"/>
      <c r="I26" s="131">
        <f t="shared" si="3"/>
        <v>500226.4849765625</v>
      </c>
      <c r="J26" s="131"/>
    </row>
    <row r="27" spans="2:10" x14ac:dyDescent="0.3">
      <c r="B27" s="126">
        <v>5</v>
      </c>
      <c r="C27" s="131">
        <f t="shared" si="1"/>
        <v>554833.74460582354</v>
      </c>
      <c r="D27" s="132">
        <f>C27*(1+C14)/(C16-C14)</f>
        <v>9948197.9089677893</v>
      </c>
      <c r="E27" s="131">
        <f t="shared" si="2"/>
        <v>16186.741698229287</v>
      </c>
      <c r="F27" s="132">
        <f>E27*(1+D14)/(D16-D14)</f>
        <v>495382.40302327852</v>
      </c>
      <c r="G27" s="131">
        <f>C27+E27</f>
        <v>571020.48630405287</v>
      </c>
      <c r="H27" s="132">
        <f>D27+F27</f>
        <v>10443580.311991068</v>
      </c>
      <c r="I27" s="131">
        <f t="shared" si="3"/>
        <v>625283.10622070311</v>
      </c>
      <c r="J27" s="131">
        <f>I27*(1+F14)/(F16-F14)</f>
        <v>11439311.355921756</v>
      </c>
    </row>
    <row r="28" spans="2:10" x14ac:dyDescent="0.3">
      <c r="B28" s="126" t="s">
        <v>260</v>
      </c>
      <c r="C28" s="131"/>
      <c r="D28" s="132">
        <f>C23/(1+C16)+C24/(1+C16)^2+C25/(1+C16)^3+C26/(1+C16)^4+(C27+D27)/(1+C16)^5</f>
        <v>8214185.0898447987</v>
      </c>
      <c r="E28" s="131"/>
      <c r="F28" s="132">
        <f>E23/(1+D16)+E24/(1+D16)^2+E25/(1+D16)^3+E26/(1+D16)^4+(E27+F27)/(1+D16)^5</f>
        <v>415229.65350193938</v>
      </c>
      <c r="G28" s="131"/>
      <c r="H28" s="132">
        <f>G23/(1+E16)+G24/(1+E16)^2+G25/(1+E16)^3+G26/(1+E16)^4+(G27+H27)/(1+E16)^5</f>
        <v>9037189.1592788845</v>
      </c>
      <c r="I28" s="133"/>
      <c r="J28" s="132">
        <f>I23/(1+F16)+I24/(1+F16)^2+I25/(1+F16)^3+I26/(1+F16)^4+(I27+J27)/(1+F16)^5</f>
        <v>9154054.4303513728</v>
      </c>
    </row>
    <row r="29" spans="2:10" ht="15" thickBot="1" x14ac:dyDescent="0.35">
      <c r="D29" s="134"/>
      <c r="E29" s="134"/>
      <c r="F29" s="134"/>
    </row>
    <row r="30" spans="2:10" ht="25.2" customHeight="1" thickTop="1" thickBot="1" x14ac:dyDescent="0.35">
      <c r="D30" s="195" t="s">
        <v>301</v>
      </c>
      <c r="E30" s="196"/>
      <c r="F30" s="196"/>
      <c r="G30" s="171">
        <f>J28-H28</f>
        <v>116865.27107248828</v>
      </c>
    </row>
    <row r="31" spans="2:10" ht="25.2" customHeight="1" thickTop="1" thickBot="1" x14ac:dyDescent="0.35">
      <c r="D31" s="197" t="s">
        <v>312</v>
      </c>
      <c r="E31" s="198"/>
      <c r="F31" s="198"/>
      <c r="G31" s="170">
        <f>F28+G30</f>
        <v>532094.92457442766</v>
      </c>
      <c r="H31" s="134"/>
    </row>
    <row r="32" spans="2:10" ht="22.8" customHeight="1" thickTop="1" thickBot="1" x14ac:dyDescent="0.35">
      <c r="C32" s="144"/>
      <c r="D32" s="199" t="s">
        <v>313</v>
      </c>
      <c r="E32" s="200"/>
      <c r="F32" s="201"/>
      <c r="G32" s="168">
        <f>G30/F28</f>
        <v>0.28144731496625264</v>
      </c>
    </row>
    <row r="33" spans="1:7" ht="25.8" customHeight="1" thickTop="1" thickBot="1" x14ac:dyDescent="0.35">
      <c r="A33" s="202" t="s">
        <v>268</v>
      </c>
      <c r="B33" s="202"/>
      <c r="C33" s="144"/>
      <c r="D33" s="203" t="s">
        <v>314</v>
      </c>
      <c r="E33" s="203"/>
      <c r="F33" s="203"/>
      <c r="G33" s="169">
        <f>G31/284.975845</f>
        <v>1867.1579851774022</v>
      </c>
    </row>
    <row r="34" spans="1:7" ht="16.2" thickTop="1" thickBot="1" x14ac:dyDescent="0.35">
      <c r="A34" s="96" t="s">
        <v>262</v>
      </c>
      <c r="B34" s="141">
        <v>5787470634</v>
      </c>
      <c r="D34" s="166"/>
      <c r="E34" s="166"/>
      <c r="F34" s="167"/>
      <c r="G34" s="167"/>
    </row>
    <row r="35" spans="1:7" ht="18.600000000000001" thickTop="1" thickBot="1" x14ac:dyDescent="0.35">
      <c r="A35" s="96" t="s">
        <v>234</v>
      </c>
      <c r="B35" s="141">
        <v>284975845</v>
      </c>
      <c r="D35" s="167"/>
      <c r="E35" s="167"/>
      <c r="F35" s="178" t="s">
        <v>274</v>
      </c>
      <c r="G35" s="179">
        <f>G33/I10-1</f>
        <v>0.41558603880015332</v>
      </c>
    </row>
    <row r="36" spans="1:7" ht="15" thickTop="1" x14ac:dyDescent="0.3"/>
  </sheetData>
  <mergeCells count="7">
    <mergeCell ref="A33:B33"/>
    <mergeCell ref="D33:F33"/>
    <mergeCell ref="H8:I8"/>
    <mergeCell ref="B3:F3"/>
    <mergeCell ref="D30:F30"/>
    <mergeCell ref="D31:F31"/>
    <mergeCell ref="D32:F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9DC4-D115-45D8-B7E3-8189B3352663}">
  <dimension ref="B3:U47"/>
  <sheetViews>
    <sheetView topLeftCell="A26" zoomScale="74" workbookViewId="0">
      <selection activeCell="J20" sqref="J20"/>
    </sheetView>
  </sheetViews>
  <sheetFormatPr defaultRowHeight="14.4" x14ac:dyDescent="0.3"/>
  <cols>
    <col min="2" max="2" width="38.44140625" bestFit="1" customWidth="1"/>
    <col min="3" max="5" width="9.5546875" bestFit="1" customWidth="1"/>
    <col min="6" max="6" width="14.109375" customWidth="1"/>
    <col min="7" max="18" width="9.5546875" bestFit="1" customWidth="1"/>
    <col min="19" max="19" width="8.5546875" bestFit="1" customWidth="1"/>
  </cols>
  <sheetData>
    <row r="3" spans="2:21" x14ac:dyDescent="0.3">
      <c r="B3" s="97"/>
      <c r="C3" s="61">
        <v>42094</v>
      </c>
      <c r="D3" s="61">
        <v>42460</v>
      </c>
      <c r="E3" s="61">
        <v>42825</v>
      </c>
      <c r="F3" s="61">
        <v>43190</v>
      </c>
      <c r="G3" s="61">
        <v>43555</v>
      </c>
      <c r="H3" s="61">
        <v>43921</v>
      </c>
      <c r="I3" s="61">
        <v>44286</v>
      </c>
      <c r="J3" s="61">
        <v>44651</v>
      </c>
      <c r="K3" s="61">
        <v>45016</v>
      </c>
      <c r="L3" s="61">
        <v>45382</v>
      </c>
      <c r="M3" s="6">
        <v>45747</v>
      </c>
      <c r="N3" s="6">
        <v>46112</v>
      </c>
      <c r="O3" s="6">
        <v>46477</v>
      </c>
      <c r="P3" s="6">
        <v>46843</v>
      </c>
      <c r="Q3" s="6">
        <v>47208</v>
      </c>
      <c r="R3" s="6">
        <v>47573</v>
      </c>
      <c r="S3" s="127"/>
    </row>
    <row r="4" spans="2:21" x14ac:dyDescent="0.3">
      <c r="B4" s="110" t="s">
        <v>140</v>
      </c>
      <c r="C4" s="97">
        <f>'Tata Comm'!B77+Airtel!B77</f>
        <v>117547.88</v>
      </c>
      <c r="D4" s="97">
        <f>'Tata Comm'!C77+Airtel!C77</f>
        <v>119621.1</v>
      </c>
      <c r="E4" s="97">
        <f>'Tata Comm'!D77+Airtel!D77</f>
        <v>116094.95000000001</v>
      </c>
      <c r="F4" s="97">
        <f>'Tata Comm'!E77+Airtel!E77</f>
        <v>101051.13</v>
      </c>
      <c r="G4" s="97">
        <f>'Tata Comm'!F77+Airtel!F77</f>
        <v>101841.75</v>
      </c>
      <c r="H4" s="97">
        <f>'Tata Comm'!G77+Airtel!G77</f>
        <v>66511.56</v>
      </c>
      <c r="I4" s="97">
        <f>'Tata Comm'!H77+Airtel!H77</f>
        <v>113582.94</v>
      </c>
      <c r="J4" s="97">
        <f>'Tata Comm'!I77+Airtel!I77</f>
        <v>138265.78</v>
      </c>
      <c r="K4" s="97">
        <f>'Tata Comm'!J77+Airtel!J77</f>
        <v>158441.46</v>
      </c>
      <c r="L4" s="97">
        <f>'Tata Comm'!K77+Airtel!K77</f>
        <v>167570.53</v>
      </c>
      <c r="M4" s="135">
        <f>L4*(1+M5)</f>
        <v>206111.7519</v>
      </c>
      <c r="N4" s="135">
        <f t="shared" ref="N4:R4" si="0">M4*(1+N5)</f>
        <v>253517.454837</v>
      </c>
      <c r="O4" s="135">
        <f t="shared" si="0"/>
        <v>311826.46944950998</v>
      </c>
      <c r="P4" s="135">
        <f t="shared" si="0"/>
        <v>386664.82211739238</v>
      </c>
      <c r="Q4" s="135">
        <f t="shared" si="0"/>
        <v>479464.37942556653</v>
      </c>
      <c r="R4" s="135">
        <f t="shared" si="0"/>
        <v>594535.83048770251</v>
      </c>
      <c r="U4" s="22"/>
    </row>
    <row r="5" spans="2:21" x14ac:dyDescent="0.3">
      <c r="B5" s="110" t="s">
        <v>275</v>
      </c>
      <c r="C5" s="97"/>
      <c r="D5" s="54">
        <f>D4/C4-1</f>
        <v>1.7637238544838008E-2</v>
      </c>
      <c r="E5" s="54">
        <f t="shared" ref="E5:L5" si="1">E4/D4-1</f>
        <v>-2.9477659041757587E-2</v>
      </c>
      <c r="F5" s="54">
        <f t="shared" si="1"/>
        <v>-0.12958203608339558</v>
      </c>
      <c r="G5" s="54">
        <f t="shared" si="1"/>
        <v>7.8239600091556394E-3</v>
      </c>
      <c r="H5" s="54">
        <f t="shared" si="1"/>
        <v>-0.34691263651694915</v>
      </c>
      <c r="I5" s="54">
        <f t="shared" si="1"/>
        <v>0.70771727501204307</v>
      </c>
      <c r="J5" s="54">
        <f t="shared" si="1"/>
        <v>0.21731115605917584</v>
      </c>
      <c r="K5" s="54">
        <f t="shared" si="1"/>
        <v>0.14591954712149313</v>
      </c>
      <c r="L5" s="54">
        <f t="shared" si="1"/>
        <v>5.7617936618357346E-2</v>
      </c>
      <c r="M5" s="54">
        <v>0.23</v>
      </c>
      <c r="N5" s="54">
        <v>0.23</v>
      </c>
      <c r="O5" s="54">
        <v>0.23</v>
      </c>
      <c r="P5" s="54">
        <v>0.24</v>
      </c>
      <c r="Q5" s="54">
        <v>0.24</v>
      </c>
      <c r="R5" s="54">
        <v>0.24</v>
      </c>
    </row>
    <row r="6" spans="2:21" x14ac:dyDescent="0.3">
      <c r="B6" s="110" t="s">
        <v>141</v>
      </c>
      <c r="C6" s="97">
        <f>'Tata Comm'!B78+Airtel!B79</f>
        <v>52673.38</v>
      </c>
      <c r="D6" s="97">
        <f>'Tata Comm'!C78+Airtel!C79</f>
        <v>52187.94</v>
      </c>
      <c r="E6" s="97">
        <f>'Tata Comm'!D78+Airtel!D79</f>
        <v>51774.149999999994</v>
      </c>
      <c r="F6" s="97">
        <f>'Tata Comm'!E78+Airtel!E79</f>
        <v>46811.069999999992</v>
      </c>
      <c r="G6" s="97">
        <f>'Tata Comm'!F78+Airtel!F79</f>
        <v>48666.26</v>
      </c>
      <c r="H6" s="97">
        <f>'Tata Comm'!G78+Airtel!G79</f>
        <v>48023.360000000001</v>
      </c>
      <c r="I6" s="97">
        <f>'Tata Comm'!H78+Airtel!H79</f>
        <v>52660.800000000003</v>
      </c>
      <c r="J6" s="97">
        <f>'Tata Comm'!I78+Airtel!I79</f>
        <v>54354.510000000009</v>
      </c>
      <c r="K6" s="97">
        <f>'Tata Comm'!J78+Airtel!J79</f>
        <v>56451.61</v>
      </c>
      <c r="L6" s="97">
        <f>'Tata Comm'!K78+Airtel!K79</f>
        <v>60077.63</v>
      </c>
      <c r="M6" s="135">
        <f>'Tata Comm'!L78+Airtel!L79</f>
        <v>38807.033823374317</v>
      </c>
      <c r="N6" s="135">
        <f>'Tata Comm'!M78+Airtel!M79</f>
        <v>46354.236391502302</v>
      </c>
      <c r="O6" s="135">
        <f>'Tata Comm'!N78+Airtel!N79</f>
        <v>55637.420689522172</v>
      </c>
      <c r="P6" s="135">
        <f>'Tata Comm'!O78+Airtel!O79</f>
        <v>67080.024826057124</v>
      </c>
      <c r="Q6" s="135">
        <f>'Tata Comm'!P78+Airtel!P79</f>
        <v>81210.607424216621</v>
      </c>
      <c r="R6" s="135">
        <f>'Tata Comm'!Q78+Airtel!Q79</f>
        <v>98689.076019331158</v>
      </c>
    </row>
    <row r="7" spans="2:21" x14ac:dyDescent="0.3">
      <c r="B7" s="110" t="s">
        <v>171</v>
      </c>
      <c r="C7" s="97">
        <f>C6/C4</f>
        <v>0.44810148851684944</v>
      </c>
      <c r="D7" s="97">
        <f t="shared" ref="D7:R7" si="2">D6/D4</f>
        <v>0.43627704476885765</v>
      </c>
      <c r="E7" s="97">
        <f t="shared" si="2"/>
        <v>0.44596384252717269</v>
      </c>
      <c r="F7" s="97">
        <f t="shared" si="2"/>
        <v>0.46324143035312904</v>
      </c>
      <c r="G7" s="97">
        <f t="shared" si="2"/>
        <v>0.47786158427167641</v>
      </c>
      <c r="H7" s="97">
        <f t="shared" si="2"/>
        <v>0.72203027563930244</v>
      </c>
      <c r="I7" s="97">
        <f t="shared" si="2"/>
        <v>0.46363300685824826</v>
      </c>
      <c r="J7" s="97">
        <f t="shared" si="2"/>
        <v>0.39311614196947364</v>
      </c>
      <c r="K7" s="97">
        <f t="shared" si="2"/>
        <v>0.35629316972969072</v>
      </c>
      <c r="L7" s="97">
        <f t="shared" si="2"/>
        <v>0.35852145362314003</v>
      </c>
      <c r="M7" s="135">
        <f t="shared" si="2"/>
        <v>0.18828151944583182</v>
      </c>
      <c r="N7" s="135">
        <f t="shared" si="2"/>
        <v>0.18284435847348629</v>
      </c>
      <c r="O7" s="135">
        <f t="shared" si="2"/>
        <v>0.178424303708864</v>
      </c>
      <c r="P7" s="135">
        <f t="shared" si="2"/>
        <v>0.17348365040999636</v>
      </c>
      <c r="Q7" s="135">
        <f t="shared" si="2"/>
        <v>0.16937777008901658</v>
      </c>
      <c r="R7" s="135">
        <f t="shared" si="2"/>
        <v>0.16599348762273203</v>
      </c>
    </row>
    <row r="8" spans="2:21" x14ac:dyDescent="0.3">
      <c r="B8" s="112" t="s">
        <v>142</v>
      </c>
      <c r="C8" s="97">
        <f>C4-C6</f>
        <v>64874.500000000007</v>
      </c>
      <c r="D8" s="97">
        <f t="shared" ref="D8:R8" si="3">D4-D6</f>
        <v>67433.16</v>
      </c>
      <c r="E8" s="97">
        <f t="shared" si="3"/>
        <v>64320.800000000017</v>
      </c>
      <c r="F8" s="97">
        <f t="shared" si="3"/>
        <v>54240.060000000012</v>
      </c>
      <c r="G8" s="97">
        <f t="shared" si="3"/>
        <v>53175.49</v>
      </c>
      <c r="H8" s="97">
        <f t="shared" si="3"/>
        <v>18488.199999999997</v>
      </c>
      <c r="I8" s="97">
        <f t="shared" si="3"/>
        <v>60922.14</v>
      </c>
      <c r="J8" s="97">
        <f t="shared" si="3"/>
        <v>83911.26999999999</v>
      </c>
      <c r="K8" s="97">
        <f t="shared" si="3"/>
        <v>101989.84999999999</v>
      </c>
      <c r="L8" s="97">
        <f t="shared" si="3"/>
        <v>107492.9</v>
      </c>
      <c r="M8" s="135">
        <f t="shared" si="3"/>
        <v>167304.71807662569</v>
      </c>
      <c r="N8" s="135">
        <f t="shared" si="3"/>
        <v>207163.21844549768</v>
      </c>
      <c r="O8" s="135">
        <f t="shared" si="3"/>
        <v>256189.04875998781</v>
      </c>
      <c r="P8" s="135">
        <f t="shared" si="3"/>
        <v>319584.79729133524</v>
      </c>
      <c r="Q8" s="135">
        <f t="shared" si="3"/>
        <v>398253.77200134989</v>
      </c>
      <c r="R8" s="135">
        <f t="shared" si="3"/>
        <v>495846.75446837133</v>
      </c>
    </row>
    <row r="9" spans="2:21" x14ac:dyDescent="0.3">
      <c r="B9" s="110" t="s">
        <v>143</v>
      </c>
      <c r="C9" s="97">
        <f>Airtel!B82+'Tata Comm'!B81</f>
        <v>27734.209999999995</v>
      </c>
      <c r="D9" s="97">
        <f>Airtel!C82+'Tata Comm'!C81</f>
        <v>26074.3</v>
      </c>
      <c r="E9" s="97">
        <f>Airtel!D82+'Tata Comm'!D81</f>
        <v>23578.18</v>
      </c>
      <c r="F9" s="97">
        <f>Airtel!E82+'Tata Comm'!E81</f>
        <v>20108.100000000002</v>
      </c>
      <c r="G9" s="97">
        <f>Airtel!F82+'Tata Comm'!F81</f>
        <v>20130.239999999998</v>
      </c>
      <c r="H9" s="97">
        <f>Airtel!G82+'Tata Comm'!G81</f>
        <v>16685.18</v>
      </c>
      <c r="I9" s="97">
        <f>Airtel!H82+'Tata Comm'!H81</f>
        <v>15515.620000000003</v>
      </c>
      <c r="J9" s="97">
        <f>Airtel!I82+'Tata Comm'!I81</f>
        <v>17156.5</v>
      </c>
      <c r="K9" s="97">
        <f>Airtel!J82+'Tata Comm'!J81</f>
        <v>24939.719999999998</v>
      </c>
      <c r="L9" s="97">
        <f>Airtel!K82+'Tata Comm'!K81</f>
        <v>28351.69</v>
      </c>
      <c r="M9" s="135">
        <f>Airtel!L82+'Tata Comm'!L81</f>
        <v>38154.880365597324</v>
      </c>
      <c r="N9" s="135">
        <f>Airtel!M82+'Tata Comm'!M81</f>
        <v>46595.773922973705</v>
      </c>
      <c r="O9" s="135">
        <f>Airtel!N82+'Tata Comm'!N81</f>
        <v>57070.043012312584</v>
      </c>
      <c r="P9" s="135">
        <f>Airtel!O82+'Tata Comm'!O81</f>
        <v>70080.652166587854</v>
      </c>
      <c r="Q9" s="135">
        <f>Airtel!P82+'Tata Comm'!P81</f>
        <v>86255.930497515743</v>
      </c>
      <c r="R9" s="135">
        <f>Airtel!Q82+'Tata Comm'!Q81</f>
        <v>106380.88648142526</v>
      </c>
    </row>
    <row r="10" spans="2:21" x14ac:dyDescent="0.3">
      <c r="B10" s="110" t="s">
        <v>172</v>
      </c>
      <c r="C10" s="54">
        <f>C9/C4</f>
        <v>0.23593968687482916</v>
      </c>
      <c r="D10" s="54">
        <f t="shared" ref="D10:R10" si="4">D9/D4</f>
        <v>0.21797408651149336</v>
      </c>
      <c r="E10" s="54">
        <f t="shared" si="4"/>
        <v>0.20309393302637194</v>
      </c>
      <c r="F10" s="54">
        <f t="shared" si="4"/>
        <v>0.19898936310756743</v>
      </c>
      <c r="G10" s="54">
        <f t="shared" si="4"/>
        <v>0.19766196083629747</v>
      </c>
      <c r="H10" s="54">
        <f t="shared" si="4"/>
        <v>0.25086135402627757</v>
      </c>
      <c r="I10" s="54">
        <f t="shared" si="4"/>
        <v>0.13660167627286282</v>
      </c>
      <c r="J10" s="54">
        <f t="shared" si="4"/>
        <v>0.12408348616700386</v>
      </c>
      <c r="K10" s="54">
        <f t="shared" si="4"/>
        <v>0.15740652730667842</v>
      </c>
      <c r="L10" s="54">
        <f t="shared" si="4"/>
        <v>0.16919257819379099</v>
      </c>
      <c r="M10" s="78">
        <f t="shared" si="4"/>
        <v>0.18511744242564621</v>
      </c>
      <c r="N10" s="78">
        <f t="shared" si="4"/>
        <v>0.18379710364689736</v>
      </c>
      <c r="O10" s="78">
        <f t="shared" si="4"/>
        <v>0.18301859721229727</v>
      </c>
      <c r="P10" s="78">
        <f t="shared" si="4"/>
        <v>0.18124393055159074</v>
      </c>
      <c r="Q10" s="78">
        <f t="shared" si="4"/>
        <v>0.17990060200271119</v>
      </c>
      <c r="R10" s="78">
        <f t="shared" si="4"/>
        <v>0.17893099292966105</v>
      </c>
    </row>
    <row r="11" spans="2:21" x14ac:dyDescent="0.3">
      <c r="B11" s="110" t="s">
        <v>144</v>
      </c>
      <c r="C11" s="97">
        <f>C8-C9</f>
        <v>37140.290000000008</v>
      </c>
      <c r="D11" s="97">
        <f t="shared" ref="D11:R11" si="5">D8-D9</f>
        <v>41358.86</v>
      </c>
      <c r="E11" s="97">
        <f t="shared" si="5"/>
        <v>40742.620000000017</v>
      </c>
      <c r="F11" s="97">
        <f t="shared" si="5"/>
        <v>34131.960000000006</v>
      </c>
      <c r="G11" s="97">
        <f t="shared" si="5"/>
        <v>33045.25</v>
      </c>
      <c r="H11" s="97">
        <f t="shared" si="5"/>
        <v>1803.0199999999968</v>
      </c>
      <c r="I11" s="97">
        <f t="shared" si="5"/>
        <v>45406.52</v>
      </c>
      <c r="J11" s="97">
        <f t="shared" si="5"/>
        <v>66754.76999999999</v>
      </c>
      <c r="K11" s="97">
        <f t="shared" si="5"/>
        <v>77050.12999999999</v>
      </c>
      <c r="L11" s="97">
        <f t="shared" si="5"/>
        <v>79141.209999999992</v>
      </c>
      <c r="M11" s="135">
        <f t="shared" si="5"/>
        <v>129149.83771102838</v>
      </c>
      <c r="N11" s="135">
        <f t="shared" si="5"/>
        <v>160567.44452252396</v>
      </c>
      <c r="O11" s="135">
        <f t="shared" si="5"/>
        <v>199119.00574767523</v>
      </c>
      <c r="P11" s="135">
        <f t="shared" si="5"/>
        <v>249504.14512474739</v>
      </c>
      <c r="Q11" s="135">
        <f t="shared" si="5"/>
        <v>311997.84150383412</v>
      </c>
      <c r="R11" s="135">
        <f t="shared" si="5"/>
        <v>389465.86798694608</v>
      </c>
    </row>
    <row r="12" spans="2:21" x14ac:dyDescent="0.3">
      <c r="B12" s="110" t="s">
        <v>145</v>
      </c>
      <c r="C12" s="136">
        <f>Airtel!B86+'Tata Comm'!B84</f>
        <v>22019.39</v>
      </c>
      <c r="D12" s="136">
        <f>Airtel!C86+'Tata Comm'!C84</f>
        <v>19314.09</v>
      </c>
      <c r="E12" s="136">
        <f>Airtel!D86+'Tata Comm'!D84</f>
        <v>21638.77</v>
      </c>
      <c r="F12" s="136">
        <f>Airtel!E86+'Tata Comm'!E84</f>
        <v>21149.399999999998</v>
      </c>
      <c r="G12" s="136">
        <f>Airtel!F86+'Tata Comm'!F84</f>
        <v>23415.1</v>
      </c>
      <c r="H12" s="136">
        <f>Airtel!G86+'Tata Comm'!G84</f>
        <v>30047.32</v>
      </c>
      <c r="I12" s="136">
        <f>Airtel!H86+'Tata Comm'!H84</f>
        <v>31718.27</v>
      </c>
      <c r="J12" s="136">
        <f>Airtel!I86+'Tata Comm'!I84</f>
        <v>35295.24</v>
      </c>
      <c r="K12" s="136">
        <f>Airtel!J86+'Tata Comm'!J84</f>
        <v>38693.61</v>
      </c>
      <c r="L12" s="136">
        <f>Airtel!K86+'Tata Comm'!K84</f>
        <v>42007.27</v>
      </c>
      <c r="M12" s="137">
        <f>Airtel!L86+'Tata Comm'!L84</f>
        <v>52550.288775825597</v>
      </c>
      <c r="N12" s="137">
        <f>Airtel!M86+'Tata Comm'!M84</f>
        <v>65205.028643244455</v>
      </c>
      <c r="O12" s="137">
        <f>Airtel!N86+'Tata Comm'!N84</f>
        <v>80989.655214660394</v>
      </c>
      <c r="P12" s="137">
        <f>Airtel!O86+'Tata Comm'!O84</f>
        <v>100684.27428767266</v>
      </c>
      <c r="Q12" s="137">
        <f>Airtel!P86+'Tata Comm'!P84</f>
        <v>125263.85249779229</v>
      </c>
      <c r="R12" s="137">
        <f>Airtel!Q86+'Tata Comm'!Q84</f>
        <v>155946.92093511592</v>
      </c>
    </row>
    <row r="13" spans="2:21" x14ac:dyDescent="0.3">
      <c r="B13" s="110" t="s">
        <v>173</v>
      </c>
      <c r="C13" s="54">
        <f>C12/C4</f>
        <v>0.18732273180936992</v>
      </c>
      <c r="D13" s="54">
        <f t="shared" ref="D13:R13" si="6">D12/D4</f>
        <v>0.1614605617236424</v>
      </c>
      <c r="E13" s="54">
        <f t="shared" si="6"/>
        <v>0.18638855523000783</v>
      </c>
      <c r="F13" s="54">
        <f t="shared" si="6"/>
        <v>0.20929404747873673</v>
      </c>
      <c r="G13" s="54">
        <f t="shared" si="6"/>
        <v>0.22991651262866161</v>
      </c>
      <c r="H13" s="54">
        <f t="shared" si="6"/>
        <v>0.45176086683277317</v>
      </c>
      <c r="I13" s="54">
        <f t="shared" si="6"/>
        <v>0.2792520602125636</v>
      </c>
      <c r="J13" s="54">
        <f t="shared" si="6"/>
        <v>0.25527097160266266</v>
      </c>
      <c r="K13" s="54">
        <f t="shared" si="6"/>
        <v>0.2442139197656977</v>
      </c>
      <c r="L13" s="54">
        <f t="shared" si="6"/>
        <v>0.25068411492163922</v>
      </c>
      <c r="M13" s="78">
        <f t="shared" si="6"/>
        <v>0.25496017714371577</v>
      </c>
      <c r="N13" s="78">
        <f t="shared" si="6"/>
        <v>0.25720133820832286</v>
      </c>
      <c r="O13" s="78">
        <f t="shared" si="6"/>
        <v>0.25972668502977742</v>
      </c>
      <c r="P13" s="78">
        <f t="shared" si="6"/>
        <v>0.26039160670557371</v>
      </c>
      <c r="Q13" s="78">
        <f t="shared" si="6"/>
        <v>0.26125789083198958</v>
      </c>
      <c r="R13" s="78">
        <f t="shared" si="6"/>
        <v>0.26230029030746793</v>
      </c>
    </row>
    <row r="14" spans="2:21" x14ac:dyDescent="0.3">
      <c r="B14" s="111" t="s">
        <v>146</v>
      </c>
      <c r="C14" s="136">
        <f>C11-C12</f>
        <v>15120.900000000009</v>
      </c>
      <c r="D14" s="136">
        <f t="shared" ref="D14:R14" si="7">D11-D12</f>
        <v>22044.77</v>
      </c>
      <c r="E14" s="136">
        <f t="shared" si="7"/>
        <v>19103.850000000017</v>
      </c>
      <c r="F14" s="136">
        <f t="shared" si="7"/>
        <v>12982.560000000009</v>
      </c>
      <c r="G14" s="136">
        <f t="shared" si="7"/>
        <v>9630.1500000000015</v>
      </c>
      <c r="H14" s="136">
        <f t="shared" si="7"/>
        <v>-28244.300000000003</v>
      </c>
      <c r="I14" s="136">
        <f t="shared" si="7"/>
        <v>13688.249999999996</v>
      </c>
      <c r="J14" s="136">
        <f t="shared" si="7"/>
        <v>31459.529999999992</v>
      </c>
      <c r="K14" s="136">
        <f t="shared" si="7"/>
        <v>38356.51999999999</v>
      </c>
      <c r="L14" s="136">
        <f t="shared" si="7"/>
        <v>37133.939999999995</v>
      </c>
      <c r="M14" s="137">
        <f t="shared" si="7"/>
        <v>76599.54893520278</v>
      </c>
      <c r="N14" s="137">
        <f t="shared" si="7"/>
        <v>95362.415879279506</v>
      </c>
      <c r="O14" s="137">
        <f t="shared" si="7"/>
        <v>118129.35053301483</v>
      </c>
      <c r="P14" s="137">
        <f t="shared" si="7"/>
        <v>148819.87083707473</v>
      </c>
      <c r="Q14" s="137">
        <f t="shared" si="7"/>
        <v>186733.98900604184</v>
      </c>
      <c r="R14" s="137">
        <f t="shared" si="7"/>
        <v>233518.94705183015</v>
      </c>
    </row>
    <row r="15" spans="2:21" x14ac:dyDescent="0.3">
      <c r="B15" s="110" t="s">
        <v>147</v>
      </c>
      <c r="C15" s="136">
        <f>Airtel!B89+'Tata Comm'!B87</f>
        <v>5197.29</v>
      </c>
      <c r="D15" s="136">
        <f>Airtel!C89+'Tata Comm'!C87</f>
        <v>8955.16</v>
      </c>
      <c r="E15" s="136">
        <f>Airtel!D89+'Tata Comm'!D87</f>
        <v>9913.7900000000009</v>
      </c>
      <c r="F15" s="136">
        <f>Airtel!E89+'Tata Comm'!E87</f>
        <v>9669.9500000000007</v>
      </c>
      <c r="G15" s="136">
        <f>Airtel!F89+'Tata Comm'!F87</f>
        <v>11018.75</v>
      </c>
      <c r="H15" s="136">
        <f>Airtel!G89+'Tata Comm'!G87</f>
        <v>14462.539999999999</v>
      </c>
      <c r="I15" s="136">
        <f>Airtel!H89+'Tata Comm'!H87</f>
        <v>15511.2</v>
      </c>
      <c r="J15" s="136">
        <f>Airtel!I89+'Tata Comm'!I87</f>
        <v>16976.45</v>
      </c>
      <c r="K15" s="136">
        <f>Airtel!J89+'Tata Comm'!J87</f>
        <v>19732.36</v>
      </c>
      <c r="L15" s="136">
        <f>Airtel!K89+'Tata Comm'!K87</f>
        <v>23291.850000000002</v>
      </c>
      <c r="M15" s="137">
        <f>Airtel!L89+'Tata Comm'!L87</f>
        <v>16523.987670980874</v>
      </c>
      <c r="N15" s="137">
        <f>Airtel!M89+'Tata Comm'!M87</f>
        <v>20553.151923570389</v>
      </c>
      <c r="O15" s="137">
        <f>Airtel!N89+'Tata Comm'!N87</f>
        <v>25582.47895274638</v>
      </c>
      <c r="P15" s="137">
        <f>Airtel!O89+'Tata Comm'!O87</f>
        <v>31861.510472596216</v>
      </c>
      <c r="Q15" s="137">
        <f>Airtel!P89+'Tata Comm'!P87</f>
        <v>39702.13869712493</v>
      </c>
      <c r="R15" s="137">
        <f>Airtel!Q89+'Tata Comm'!Q87</f>
        <v>49494.191520232394</v>
      </c>
    </row>
    <row r="16" spans="2:21" x14ac:dyDescent="0.3">
      <c r="B16" s="110" t="s">
        <v>174</v>
      </c>
      <c r="C16" s="54">
        <f>C15/C4</f>
        <v>4.4214238487329589E-2</v>
      </c>
      <c r="D16" s="54">
        <f t="shared" ref="D16:R16" si="8">D15/D4</f>
        <v>7.486271234757079E-2</v>
      </c>
      <c r="E16" s="54">
        <f t="shared" si="8"/>
        <v>8.5393809119173575E-2</v>
      </c>
      <c r="F16" s="54">
        <f t="shared" si="8"/>
        <v>9.5693635489281517E-2</v>
      </c>
      <c r="G16" s="54">
        <f t="shared" si="8"/>
        <v>0.10819482186824166</v>
      </c>
      <c r="H16" s="54">
        <f t="shared" si="8"/>
        <v>0.21744400522255078</v>
      </c>
      <c r="I16" s="54">
        <f t="shared" si="8"/>
        <v>0.13656276197816328</v>
      </c>
      <c r="J16" s="54">
        <f t="shared" si="8"/>
        <v>0.12278128398798314</v>
      </c>
      <c r="K16" s="54">
        <f t="shared" si="8"/>
        <v>0.12454038229640146</v>
      </c>
      <c r="L16" s="54">
        <f t="shared" si="8"/>
        <v>0.13899729266237926</v>
      </c>
      <c r="M16" s="78">
        <f t="shared" si="8"/>
        <v>8.0170041342416412E-2</v>
      </c>
      <c r="N16" s="78">
        <f t="shared" si="8"/>
        <v>8.1071940142287705E-2</v>
      </c>
      <c r="O16" s="78">
        <f t="shared" si="8"/>
        <v>8.2040754904190771E-2</v>
      </c>
      <c r="P16" s="78">
        <f t="shared" si="8"/>
        <v>8.2400851202654751E-2</v>
      </c>
      <c r="Q16" s="78">
        <f t="shared" si="8"/>
        <v>8.2805189292040851E-2</v>
      </c>
      <c r="R16" s="78">
        <f t="shared" si="8"/>
        <v>8.3248458683527801E-2</v>
      </c>
    </row>
    <row r="17" spans="2:18" x14ac:dyDescent="0.3">
      <c r="B17" s="110" t="s">
        <v>149</v>
      </c>
      <c r="C17" s="136">
        <f>C14-C15</f>
        <v>9923.6100000000079</v>
      </c>
      <c r="D17" s="136">
        <f t="shared" ref="D17:R17" si="9">D14-D15</f>
        <v>13089.61</v>
      </c>
      <c r="E17" s="136">
        <f t="shared" si="9"/>
        <v>9190.0600000000159</v>
      </c>
      <c r="F17" s="136">
        <f t="shared" si="9"/>
        <v>3312.6100000000079</v>
      </c>
      <c r="G17" s="136">
        <f t="shared" si="9"/>
        <v>-1388.5999999999985</v>
      </c>
      <c r="H17" s="136">
        <f t="shared" si="9"/>
        <v>-42706.840000000004</v>
      </c>
      <c r="I17" s="136">
        <f t="shared" si="9"/>
        <v>-1822.9500000000044</v>
      </c>
      <c r="J17" s="136">
        <f t="shared" si="9"/>
        <v>14483.079999999991</v>
      </c>
      <c r="K17" s="136">
        <f t="shared" si="9"/>
        <v>18624.159999999989</v>
      </c>
      <c r="L17" s="136">
        <f t="shared" si="9"/>
        <v>13842.089999999993</v>
      </c>
      <c r="M17" s="137">
        <f t="shared" si="9"/>
        <v>60075.561264221906</v>
      </c>
      <c r="N17" s="137">
        <f t="shared" si="9"/>
        <v>74809.263955709117</v>
      </c>
      <c r="O17" s="137">
        <f t="shared" si="9"/>
        <v>92546.87158026846</v>
      </c>
      <c r="P17" s="137">
        <f t="shared" si="9"/>
        <v>116958.36036447852</v>
      </c>
      <c r="Q17" s="137">
        <f t="shared" si="9"/>
        <v>147031.85030891691</v>
      </c>
      <c r="R17" s="137">
        <f t="shared" si="9"/>
        <v>184024.75553159777</v>
      </c>
    </row>
    <row r="18" spans="2:18" x14ac:dyDescent="0.3">
      <c r="B18" s="110" t="s">
        <v>148</v>
      </c>
      <c r="C18" s="97">
        <f>25%*'Combined Entity '!C17</f>
        <v>2480.902500000002</v>
      </c>
      <c r="D18" s="97">
        <f>25%*'Combined Entity '!D17</f>
        <v>3272.4025000000001</v>
      </c>
      <c r="E18" s="97">
        <f>25%*'Combined Entity '!E17</f>
        <v>2297.515000000004</v>
      </c>
      <c r="F18" s="97">
        <f>25%*'Combined Entity '!F17</f>
        <v>828.15250000000196</v>
      </c>
      <c r="G18" s="97">
        <f>25%*'Combined Entity '!G17</f>
        <v>-347.14999999999964</v>
      </c>
      <c r="H18" s="97">
        <f>25%*'Combined Entity '!H17</f>
        <v>-10676.710000000001</v>
      </c>
      <c r="I18" s="97">
        <f>25%*'Combined Entity '!I17</f>
        <v>-455.73750000000109</v>
      </c>
      <c r="J18" s="97">
        <f>25%*'Combined Entity '!J17</f>
        <v>3620.7699999999977</v>
      </c>
      <c r="K18" s="97">
        <f>25%*'Combined Entity '!K17</f>
        <v>4656.0399999999972</v>
      </c>
      <c r="L18" s="97">
        <f>25%*'Combined Entity '!L17</f>
        <v>3460.5224999999982</v>
      </c>
      <c r="M18" s="135">
        <f>25%*'Combined Entity '!M17</f>
        <v>15018.890316055476</v>
      </c>
      <c r="N18" s="135">
        <f>25%*'Combined Entity '!N17</f>
        <v>18702.315988927279</v>
      </c>
      <c r="O18" s="135">
        <f>25%*'Combined Entity '!O17</f>
        <v>23136.717895067115</v>
      </c>
      <c r="P18" s="135">
        <f>25%*'Combined Entity '!P17</f>
        <v>29239.59009111963</v>
      </c>
      <c r="Q18" s="135">
        <f>25%*'Combined Entity '!Q17</f>
        <v>36757.962577229227</v>
      </c>
      <c r="R18" s="135">
        <f>25%*'Combined Entity '!R17</f>
        <v>46006.188882899442</v>
      </c>
    </row>
    <row r="19" spans="2:18" x14ac:dyDescent="0.3">
      <c r="B19" s="110" t="s">
        <v>175</v>
      </c>
      <c r="C19" s="54">
        <f>C18/C4</f>
        <v>2.1105463577905461E-2</v>
      </c>
      <c r="D19" s="54">
        <f t="shared" ref="D19:R19" si="10">D18/D4</f>
        <v>2.7356398662108941E-2</v>
      </c>
      <c r="E19" s="54">
        <f t="shared" si="10"/>
        <v>1.9789965024318488E-2</v>
      </c>
      <c r="F19" s="54">
        <f t="shared" si="10"/>
        <v>8.1953808928213068E-3</v>
      </c>
      <c r="G19" s="54">
        <f t="shared" si="10"/>
        <v>-3.4087199012192899E-3</v>
      </c>
      <c r="H19" s="54">
        <f t="shared" si="10"/>
        <v>-0.16052412543022598</v>
      </c>
      <c r="I19" s="54">
        <f t="shared" si="10"/>
        <v>-4.0123763304594955E-3</v>
      </c>
      <c r="J19" s="54">
        <f t="shared" si="10"/>
        <v>2.6187029068219177E-2</v>
      </c>
      <c r="K19" s="54">
        <f t="shared" si="10"/>
        <v>2.938650022538291E-2</v>
      </c>
      <c r="L19" s="54">
        <f t="shared" si="10"/>
        <v>2.06511401497626E-2</v>
      </c>
      <c r="M19" s="78">
        <f t="shared" si="10"/>
        <v>7.2867704910597464E-2</v>
      </c>
      <c r="N19" s="78">
        <f t="shared" si="10"/>
        <v>7.3771314882251415E-2</v>
      </c>
      <c r="O19" s="78">
        <f t="shared" si="10"/>
        <v>7.4197414786217636E-2</v>
      </c>
      <c r="P19" s="78">
        <f t="shared" si="10"/>
        <v>7.561999028254611E-2</v>
      </c>
      <c r="Q19" s="78">
        <f t="shared" si="10"/>
        <v>7.6664636946060433E-2</v>
      </c>
      <c r="R19" s="78">
        <f t="shared" si="10"/>
        <v>7.7381692614152786E-2</v>
      </c>
    </row>
    <row r="20" spans="2:18" x14ac:dyDescent="0.3">
      <c r="B20" s="110" t="s">
        <v>150</v>
      </c>
      <c r="C20" s="136">
        <f>C17-C18</f>
        <v>7442.7075000000059</v>
      </c>
      <c r="D20" s="136">
        <f t="shared" ref="D20:R20" si="11">D17-D18</f>
        <v>9817.2075000000004</v>
      </c>
      <c r="E20" s="136">
        <f t="shared" si="11"/>
        <v>6892.5450000000119</v>
      </c>
      <c r="F20" s="136">
        <f t="shared" si="11"/>
        <v>2484.4575000000059</v>
      </c>
      <c r="G20" s="136">
        <f t="shared" si="11"/>
        <v>-1041.4499999999989</v>
      </c>
      <c r="H20" s="136">
        <f t="shared" si="11"/>
        <v>-32030.130000000005</v>
      </c>
      <c r="I20" s="136">
        <f t="shared" si="11"/>
        <v>-1367.2125000000033</v>
      </c>
      <c r="J20" s="136">
        <f t="shared" si="11"/>
        <v>10862.309999999994</v>
      </c>
      <c r="K20" s="136">
        <f t="shared" si="11"/>
        <v>13968.119999999992</v>
      </c>
      <c r="L20" s="136">
        <f t="shared" si="11"/>
        <v>10381.567499999994</v>
      </c>
      <c r="M20" s="137">
        <f t="shared" si="11"/>
        <v>45056.670948166429</v>
      </c>
      <c r="N20" s="137">
        <f t="shared" si="11"/>
        <v>56106.947966781838</v>
      </c>
      <c r="O20" s="137">
        <f t="shared" si="11"/>
        <v>69410.153685201338</v>
      </c>
      <c r="P20" s="137">
        <f t="shared" si="11"/>
        <v>87718.770273358881</v>
      </c>
      <c r="Q20" s="137">
        <f t="shared" si="11"/>
        <v>110273.88773168769</v>
      </c>
      <c r="R20" s="137">
        <f t="shared" si="11"/>
        <v>138018.56664869832</v>
      </c>
    </row>
    <row r="21" spans="2:18" x14ac:dyDescent="0.3">
      <c r="B21" s="128" t="s">
        <v>271</v>
      </c>
      <c r="C21" s="136">
        <f t="shared" ref="C21:R21" si="12">C20/$C$45</f>
        <v>13.057381578947378</v>
      </c>
      <c r="D21" s="136">
        <f t="shared" si="12"/>
        <v>17.223171052631578</v>
      </c>
      <c r="E21" s="136">
        <f t="shared" si="12"/>
        <v>12.092184210526337</v>
      </c>
      <c r="F21" s="136">
        <f t="shared" si="12"/>
        <v>4.3586973684210628</v>
      </c>
      <c r="G21" s="136">
        <f t="shared" si="12"/>
        <v>-1.8271052631578928</v>
      </c>
      <c r="H21" s="136">
        <f t="shared" si="12"/>
        <v>-56.193210526315795</v>
      </c>
      <c r="I21" s="136">
        <f t="shared" si="12"/>
        <v>-2.3986184210526371</v>
      </c>
      <c r="J21" s="136">
        <f t="shared" si="12"/>
        <v>19.056684210526306</v>
      </c>
      <c r="K21" s="136">
        <f t="shared" si="12"/>
        <v>24.505473684210511</v>
      </c>
      <c r="L21" s="143">
        <f t="shared" si="12"/>
        <v>18.213276315789464</v>
      </c>
      <c r="M21" s="136">
        <f t="shared" si="12"/>
        <v>79.046791137134093</v>
      </c>
      <c r="N21" s="136">
        <f t="shared" si="12"/>
        <v>98.433242046985683</v>
      </c>
      <c r="O21" s="136">
        <f t="shared" si="12"/>
        <v>121.77219944772165</v>
      </c>
      <c r="P21" s="136">
        <f t="shared" si="12"/>
        <v>153.89257942694542</v>
      </c>
      <c r="Q21" s="136">
        <f t="shared" si="12"/>
        <v>193.46296093278542</v>
      </c>
      <c r="R21" s="136">
        <f t="shared" si="12"/>
        <v>242.13783622578654</v>
      </c>
    </row>
    <row r="22" spans="2:18" x14ac:dyDescent="0.3">
      <c r="B22" s="128" t="s">
        <v>261</v>
      </c>
      <c r="C22" s="138">
        <f>Airtel!B114+'Tata Comm'!B112</f>
        <v>0</v>
      </c>
      <c r="D22" s="138">
        <f>Airtel!C114+'Tata Comm'!C112</f>
        <v>55516.959999999985</v>
      </c>
      <c r="E22" s="138">
        <f>Airtel!D114+'Tata Comm'!D112</f>
        <v>29153.370000000017</v>
      </c>
      <c r="F22" s="138">
        <f>Airtel!E114+'Tata Comm'!E112</f>
        <v>28664.82</v>
      </c>
      <c r="G22" s="138">
        <f>Airtel!F114+'Tata Comm'!F112</f>
        <v>37263.080000000016</v>
      </c>
      <c r="H22" s="138">
        <f>Airtel!G114+'Tata Comm'!G112</f>
        <v>54585.729999999981</v>
      </c>
      <c r="I22" s="138">
        <f>Airtel!H114+'Tata Comm'!H112</f>
        <v>26282.060000000009</v>
      </c>
      <c r="J22" s="138">
        <f>Airtel!I114+'Tata Comm'!I112</f>
        <v>55903.26999999999</v>
      </c>
      <c r="K22" s="138">
        <f>Airtel!J114+'Tata Comm'!J112</f>
        <v>115333.79000000002</v>
      </c>
      <c r="L22" s="138">
        <f>Airtel!K114+'Tata Comm'!K112</f>
        <v>38542.069999999963</v>
      </c>
      <c r="M22" s="82">
        <f>Airtel!L114+'Tata Comm'!L112</f>
        <v>42647.071938514804</v>
      </c>
      <c r="N22" s="82">
        <f>Airtel!M114+'Tata Comm'!M112</f>
        <v>52886.834524210833</v>
      </c>
      <c r="O22" s="82">
        <f>Airtel!N114+'Tata Comm'!N112</f>
        <v>65656.997378405591</v>
      </c>
      <c r="P22" s="82">
        <f>Airtel!O114+'Tata Comm'!O112</f>
        <v>81588.092741768982</v>
      </c>
      <c r="Q22" s="82">
        <f>Airtel!P114+'Tata Comm'!P112</f>
        <v>101468.14116728657</v>
      </c>
      <c r="R22" s="82">
        <f>Airtel!Q114+'Tata Comm'!Q112</f>
        <v>126282.01346598881</v>
      </c>
    </row>
    <row r="23" spans="2:18" x14ac:dyDescent="0.3">
      <c r="B23" s="128" t="s">
        <v>151</v>
      </c>
      <c r="C23" s="23">
        <f>C20+C12-C24</f>
        <v>29462.097500000003</v>
      </c>
      <c r="D23" s="23">
        <f t="shared" ref="D23:L23" si="13">D20+D12-D24</f>
        <v>26812.697499999998</v>
      </c>
      <c r="E23" s="23">
        <f t="shared" si="13"/>
        <v>31413.835000000014</v>
      </c>
      <c r="F23" s="23">
        <f t="shared" si="13"/>
        <v>20574.747500000005</v>
      </c>
      <c r="G23" s="23">
        <f t="shared" si="13"/>
        <v>20678.48</v>
      </c>
      <c r="H23" s="23">
        <f t="shared" si="13"/>
        <v>-9657.070000000007</v>
      </c>
      <c r="I23" s="23">
        <f t="shared" si="13"/>
        <v>32571.407499999998</v>
      </c>
      <c r="J23" s="23">
        <f t="shared" si="13"/>
        <v>47820.669999999984</v>
      </c>
      <c r="K23" s="23">
        <f t="shared" si="13"/>
        <v>52138.37</v>
      </c>
      <c r="L23" s="23">
        <f t="shared" si="13"/>
        <v>46690.24749999999</v>
      </c>
    </row>
    <row r="24" spans="2:18" x14ac:dyDescent="0.3">
      <c r="B24" s="128" t="s">
        <v>197</v>
      </c>
      <c r="C24">
        <f>Airtel!B107+'Tata Comm'!B105</f>
        <v>0</v>
      </c>
      <c r="D24">
        <f>Airtel!C107+'Tata Comm'!C105</f>
        <v>2318.6000000000013</v>
      </c>
      <c r="E24">
        <f>Airtel!D107+'Tata Comm'!D105</f>
        <v>-2882.5200000000004</v>
      </c>
      <c r="F24">
        <f>Airtel!E107+'Tata Comm'!E105</f>
        <v>3059.1099999999997</v>
      </c>
      <c r="G24">
        <f>Airtel!F107+'Tata Comm'!F105</f>
        <v>1695.170000000001</v>
      </c>
      <c r="H24">
        <f>Airtel!G107+'Tata Comm'!G105</f>
        <v>7674.260000000002</v>
      </c>
      <c r="I24">
        <f>Airtel!H107+'Tata Comm'!H105</f>
        <v>-2220.3500000000031</v>
      </c>
      <c r="J24">
        <f>Airtel!I107+'Tata Comm'!I105</f>
        <v>-1663.1199999999985</v>
      </c>
      <c r="K24">
        <f>Airtel!J107+'Tata Comm'!J105</f>
        <v>523.35999999999649</v>
      </c>
      <c r="L24">
        <f>Airtel!K107+'Tata Comm'!K105</f>
        <v>5698.5900000000038</v>
      </c>
    </row>
    <row r="25" spans="2:18" x14ac:dyDescent="0.3">
      <c r="B25" s="73" t="s">
        <v>176</v>
      </c>
      <c r="C25" s="74"/>
      <c r="D25" s="74"/>
      <c r="E25" s="74"/>
      <c r="F25" s="74"/>
      <c r="G25" s="75" t="s">
        <v>177</v>
      </c>
      <c r="H25" s="75"/>
      <c r="I25" s="75"/>
      <c r="J25" s="75"/>
      <c r="K25" s="75"/>
      <c r="L25" s="76"/>
      <c r="M25" s="74"/>
    </row>
    <row r="26" spans="2:18" x14ac:dyDescent="0.3">
      <c r="B26" s="74"/>
      <c r="C26" s="74"/>
      <c r="D26" s="74"/>
      <c r="E26" s="74"/>
      <c r="F26" s="74"/>
      <c r="G26" s="84">
        <f>M3</f>
        <v>45747</v>
      </c>
      <c r="H26" s="84">
        <f t="shared" ref="H26:K26" si="14">N3</f>
        <v>46112</v>
      </c>
      <c r="I26" s="84">
        <f t="shared" si="14"/>
        <v>46477</v>
      </c>
      <c r="J26" s="84">
        <f t="shared" si="14"/>
        <v>46843</v>
      </c>
      <c r="K26" s="84">
        <f t="shared" si="14"/>
        <v>47208</v>
      </c>
      <c r="L26" s="76"/>
      <c r="M26" s="74"/>
    </row>
    <row r="27" spans="2:18" x14ac:dyDescent="0.3">
      <c r="B27" s="74" t="s">
        <v>178</v>
      </c>
      <c r="C27" s="74"/>
      <c r="D27" s="74"/>
      <c r="E27" s="74"/>
      <c r="F27" s="74"/>
      <c r="G27" s="77">
        <f>M14</f>
        <v>76599.54893520278</v>
      </c>
      <c r="H27" s="77">
        <f t="shared" ref="H27:K27" si="15">N14</f>
        <v>95362.415879279506</v>
      </c>
      <c r="I27" s="77">
        <f t="shared" si="15"/>
        <v>118129.35053301483</v>
      </c>
      <c r="J27" s="77">
        <f t="shared" si="15"/>
        <v>148819.87083707473</v>
      </c>
      <c r="K27" s="77">
        <f t="shared" si="15"/>
        <v>186733.98900604184</v>
      </c>
      <c r="L27" s="74"/>
      <c r="M27" s="74"/>
    </row>
    <row r="28" spans="2:18" x14ac:dyDescent="0.3">
      <c r="B28" s="74" t="s">
        <v>179</v>
      </c>
      <c r="C28" s="74"/>
      <c r="D28" s="74" t="s">
        <v>180</v>
      </c>
      <c r="E28" s="78">
        <f>0.25168</f>
        <v>0.25168000000000001</v>
      </c>
      <c r="F28" s="74"/>
      <c r="G28" s="77">
        <f>G27*(1-$E$28)</f>
        <v>57320.97445919094</v>
      </c>
      <c r="H28" s="77">
        <f t="shared" ref="H28:K28" si="16">H27*(1-$E$28)</f>
        <v>71361.603050782433</v>
      </c>
      <c r="I28" s="77">
        <f t="shared" si="16"/>
        <v>88398.555590865653</v>
      </c>
      <c r="J28" s="77">
        <f t="shared" si="16"/>
        <v>111364.88574479976</v>
      </c>
      <c r="K28" s="77">
        <f t="shared" si="16"/>
        <v>139736.77865300124</v>
      </c>
      <c r="L28" s="74"/>
      <c r="M28" s="74"/>
      <c r="P28" t="s">
        <v>265</v>
      </c>
      <c r="Q28">
        <f>'Tata Comm'!K48+Airtel!K18</f>
        <v>226855.47</v>
      </c>
    </row>
    <row r="29" spans="2:18" x14ac:dyDescent="0.3">
      <c r="B29" s="74" t="s">
        <v>6</v>
      </c>
      <c r="C29" s="74"/>
      <c r="D29" s="74"/>
      <c r="E29" s="74"/>
      <c r="F29" s="74"/>
      <c r="G29" s="77">
        <f>M12</f>
        <v>52550.288775825597</v>
      </c>
      <c r="H29" s="77">
        <f t="shared" ref="H29:K29" si="17">N12</f>
        <v>65205.028643244455</v>
      </c>
      <c r="I29" s="77">
        <f t="shared" si="17"/>
        <v>80989.655214660394</v>
      </c>
      <c r="J29" s="77">
        <f t="shared" si="17"/>
        <v>100684.27428767266</v>
      </c>
      <c r="K29" s="77">
        <f t="shared" si="17"/>
        <v>125263.85249779229</v>
      </c>
      <c r="L29" s="74"/>
      <c r="M29" s="74"/>
      <c r="P29" t="s">
        <v>206</v>
      </c>
      <c r="Q29" s="92">
        <f>'Airtel-Tata '!F8</f>
        <v>8.6300731693427071E-2</v>
      </c>
    </row>
    <row r="30" spans="2:18" x14ac:dyDescent="0.3">
      <c r="B30" s="74" t="s">
        <v>181</v>
      </c>
      <c r="C30" s="74"/>
      <c r="D30" s="74"/>
      <c r="E30" s="74"/>
      <c r="F30" s="74"/>
      <c r="G30" s="85">
        <f>M22</f>
        <v>42647.071938514804</v>
      </c>
      <c r="H30" s="85">
        <f t="shared" ref="H30:K30" si="18">N22</f>
        <v>52886.834524210833</v>
      </c>
      <c r="I30" s="85">
        <f t="shared" si="18"/>
        <v>65656.997378405591</v>
      </c>
      <c r="J30" s="85">
        <f t="shared" si="18"/>
        <v>81588.092741768982</v>
      </c>
      <c r="K30" s="85">
        <f t="shared" si="18"/>
        <v>101468.14116728657</v>
      </c>
      <c r="L30" s="74"/>
      <c r="M30" s="74"/>
    </row>
    <row r="31" spans="2:18" x14ac:dyDescent="0.3">
      <c r="B31" s="74" t="s">
        <v>158</v>
      </c>
      <c r="C31" s="74"/>
      <c r="D31" s="74"/>
      <c r="E31" s="74"/>
      <c r="F31" s="74"/>
      <c r="G31" s="77">
        <f>Airtel!L107+'Tata Comm'!L105</f>
        <v>6676.4263074072296</v>
      </c>
      <c r="H31" s="77">
        <f>Airtel!M107+'Tata Comm'!M105</f>
        <v>7367.9324949189149</v>
      </c>
      <c r="I31" s="77">
        <f>Airtel!N107+'Tata Comm'!N105</f>
        <v>9144.3685579133344</v>
      </c>
      <c r="J31" s="77">
        <f>Airtel!O107+'Tata Comm'!O105</f>
        <v>11360.325342404898</v>
      </c>
      <c r="K31" s="77">
        <f>Airtel!P107+'Tata Comm'!P105</f>
        <v>14125.361848170272</v>
      </c>
      <c r="L31" s="74"/>
      <c r="M31" s="74"/>
    </row>
    <row r="32" spans="2:18" x14ac:dyDescent="0.3">
      <c r="B32" s="74" t="s">
        <v>160</v>
      </c>
      <c r="C32" s="74"/>
      <c r="D32" s="74"/>
      <c r="E32" s="74"/>
      <c r="F32" s="74"/>
      <c r="G32" s="79">
        <f>'Tata Comm'!L109+Airtel!L111</f>
        <v>34392.859139286425</v>
      </c>
      <c r="H32" s="79">
        <f>'Tata Comm'!M109+Airtel!M111</f>
        <v>31535.210600843646</v>
      </c>
      <c r="I32" s="79">
        <f>'Tata Comm'!N109+Airtel!N111</f>
        <v>39306.58455817608</v>
      </c>
      <c r="J32" s="79">
        <f>'Tata Comm'!O109+Airtel!O111</f>
        <v>49012.93199634015</v>
      </c>
      <c r="K32" s="79">
        <f>'Tata Comm'!P109+Airtel!P111</f>
        <v>61137.445384948638</v>
      </c>
      <c r="L32" s="74"/>
      <c r="M32" s="74"/>
    </row>
    <row r="33" spans="2:13" x14ac:dyDescent="0.3">
      <c r="B33" s="74" t="s">
        <v>182</v>
      </c>
      <c r="C33" s="74"/>
      <c r="D33" s="74"/>
      <c r="E33" s="74"/>
      <c r="F33" s="74"/>
      <c r="G33" s="77">
        <f>G28+G29-G30-G31-G32</f>
        <v>26154.90584980807</v>
      </c>
      <c r="H33" s="77">
        <f>H28+H29-H30-H31-H32</f>
        <v>44776.654074053477</v>
      </c>
      <c r="I33" s="77">
        <f t="shared" ref="I33:K33" si="19">I28+I29-I30-I31-I32</f>
        <v>55280.260311031059</v>
      </c>
      <c r="J33" s="77">
        <f t="shared" si="19"/>
        <v>70087.809951958363</v>
      </c>
      <c r="K33" s="77">
        <f t="shared" si="19"/>
        <v>88269.682750388049</v>
      </c>
      <c r="L33" s="74"/>
      <c r="M33" s="74"/>
    </row>
    <row r="34" spans="2:13" x14ac:dyDescent="0.3">
      <c r="B34" s="74" t="s">
        <v>183</v>
      </c>
      <c r="C34" s="74"/>
      <c r="D34" s="74" t="s">
        <v>184</v>
      </c>
      <c r="E34" s="78">
        <f>0.03</f>
        <v>0.03</v>
      </c>
      <c r="F34" s="74"/>
      <c r="G34" s="74"/>
      <c r="H34" s="74"/>
      <c r="I34" s="74"/>
      <c r="J34" s="74"/>
      <c r="K34" s="77">
        <f>K33*(1+E34)/(Q29-E34)</f>
        <v>1614859.5319856927</v>
      </c>
      <c r="L34" s="74" t="s">
        <v>185</v>
      </c>
      <c r="M34" s="74"/>
    </row>
    <row r="35" spans="2:13" x14ac:dyDescent="0.3">
      <c r="B35" s="74"/>
      <c r="C35" s="74"/>
      <c r="D35" s="74"/>
      <c r="E35" s="74"/>
      <c r="F35" s="74"/>
      <c r="G35" s="77">
        <f>G33+G34</f>
        <v>26154.90584980807</v>
      </c>
      <c r="H35" s="77">
        <f t="shared" ref="H35:K35" si="20">H33+H34</f>
        <v>44776.654074053477</v>
      </c>
      <c r="I35" s="77">
        <f t="shared" si="20"/>
        <v>55280.260311031059</v>
      </c>
      <c r="J35" s="77">
        <f t="shared" si="20"/>
        <v>70087.809951958363</v>
      </c>
      <c r="K35" s="77">
        <f t="shared" si="20"/>
        <v>1703129.2147360807</v>
      </c>
      <c r="L35" s="74"/>
      <c r="M35" s="74"/>
    </row>
    <row r="36" spans="2:13" x14ac:dyDescent="0.3">
      <c r="B36" s="74" t="s">
        <v>186</v>
      </c>
      <c r="C36" s="74"/>
      <c r="D36" s="74"/>
      <c r="E36" s="74"/>
      <c r="F36" s="74"/>
      <c r="G36" s="80"/>
      <c r="H36" s="80"/>
      <c r="I36" s="80"/>
      <c r="J36" s="80"/>
      <c r="K36" s="80"/>
      <c r="L36" s="74"/>
      <c r="M36" s="74"/>
    </row>
    <row r="37" spans="2:13" x14ac:dyDescent="0.3">
      <c r="B37" s="74" t="s">
        <v>187</v>
      </c>
      <c r="C37" s="74"/>
      <c r="D37" s="74"/>
      <c r="E37" s="74"/>
      <c r="F37" s="74"/>
      <c r="G37" s="77"/>
      <c r="H37" s="77"/>
      <c r="I37" s="77"/>
      <c r="J37" s="77"/>
      <c r="K37" s="77"/>
      <c r="L37" s="74"/>
      <c r="M37" s="74"/>
    </row>
    <row r="38" spans="2:13" x14ac:dyDescent="0.3">
      <c r="B38" s="81" t="s">
        <v>188</v>
      </c>
      <c r="C38" s="81"/>
      <c r="D38" s="74"/>
      <c r="E38" s="74"/>
      <c r="F38" s="82">
        <f>NPV(Q36,G35:K35)</f>
        <v>1899428.8449229316</v>
      </c>
      <c r="G38" s="74"/>
      <c r="H38" s="74"/>
      <c r="I38" s="74"/>
      <c r="J38" s="74"/>
      <c r="K38" s="74"/>
      <c r="L38" s="74"/>
      <c r="M38" s="74"/>
    </row>
    <row r="39" spans="2:13" x14ac:dyDescent="0.3">
      <c r="B39" s="74" t="s">
        <v>189</v>
      </c>
      <c r="C39" s="74"/>
      <c r="D39" s="74"/>
      <c r="E39" s="74"/>
      <c r="F39" s="108">
        <f>Airtel!K18+'Tata Comm'!K18</f>
        <v>226855.47</v>
      </c>
      <c r="G39" s="74"/>
      <c r="H39" s="74"/>
      <c r="I39" s="74"/>
      <c r="J39" s="74"/>
      <c r="K39" s="74"/>
      <c r="L39" s="74"/>
      <c r="M39" s="74"/>
    </row>
    <row r="40" spans="2:13" x14ac:dyDescent="0.3">
      <c r="B40" s="74" t="s">
        <v>190</v>
      </c>
      <c r="C40" s="74"/>
      <c r="D40" s="74"/>
      <c r="E40" s="74"/>
      <c r="F40" s="82">
        <f>F38-F39</f>
        <v>1672573.3749229317</v>
      </c>
      <c r="G40" s="74"/>
      <c r="H40" s="74"/>
      <c r="I40" s="74"/>
      <c r="J40" s="74"/>
      <c r="K40" s="74"/>
      <c r="L40" s="74"/>
      <c r="M40" s="74"/>
    </row>
    <row r="41" spans="2:13" x14ac:dyDescent="0.3">
      <c r="B41" s="74" t="s">
        <v>236</v>
      </c>
      <c r="C41" s="74"/>
      <c r="D41" s="74"/>
      <c r="E41" s="80">
        <f>C47</f>
        <v>598.5</v>
      </c>
      <c r="F41" s="74"/>
      <c r="G41" s="74"/>
      <c r="H41" s="74"/>
      <c r="I41" s="74"/>
      <c r="J41" s="74"/>
      <c r="K41" s="74"/>
      <c r="L41" s="74"/>
      <c r="M41" s="74"/>
    </row>
    <row r="42" spans="2:13" ht="15" thickBot="1" x14ac:dyDescent="0.35"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</row>
    <row r="43" spans="2:13" ht="15" thickBot="1" x14ac:dyDescent="0.35">
      <c r="B43" s="83" t="s">
        <v>191</v>
      </c>
      <c r="C43" s="83"/>
      <c r="D43" s="83"/>
      <c r="E43" s="83"/>
      <c r="F43" s="113">
        <f>F40/E41</f>
        <v>2794.6088135721498</v>
      </c>
    </row>
    <row r="45" spans="2:13" x14ac:dyDescent="0.3">
      <c r="B45" s="74" t="s">
        <v>262</v>
      </c>
      <c r="C45">
        <v>570</v>
      </c>
      <c r="D45" t="s">
        <v>263</v>
      </c>
    </row>
    <row r="46" spans="2:13" x14ac:dyDescent="0.3">
      <c r="B46" s="74" t="s">
        <v>234</v>
      </c>
      <c r="C46">
        <v>28.5</v>
      </c>
      <c r="D46" t="s">
        <v>263</v>
      </c>
    </row>
    <row r="47" spans="2:13" x14ac:dyDescent="0.3">
      <c r="C47">
        <f>SUM(C45:C46)</f>
        <v>598.5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Tata Comm</vt:lpstr>
      <vt:lpstr>Highlights </vt:lpstr>
      <vt:lpstr>WACC Calc</vt:lpstr>
      <vt:lpstr>Tata-input</vt:lpstr>
      <vt:lpstr>Airtel</vt:lpstr>
      <vt:lpstr>Airtel-input</vt:lpstr>
      <vt:lpstr>Airtel-Tata </vt:lpstr>
      <vt:lpstr>Combined Entity 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Malik</dc:creator>
  <cp:lastModifiedBy>Sathanandh</cp:lastModifiedBy>
  <cp:lastPrinted>2025-03-04T07:22:37Z</cp:lastPrinted>
  <dcterms:created xsi:type="dcterms:W3CDTF">2012-08-17T09:55:37Z</dcterms:created>
  <dcterms:modified xsi:type="dcterms:W3CDTF">2026-07-30T04:59:06Z</dcterms:modified>
</cp:coreProperties>
</file>